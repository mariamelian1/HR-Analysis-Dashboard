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7A39DD19-526F-4561-95EC-44BA19993A2B}" xr6:coauthVersionLast="47" xr6:coauthVersionMax="47" xr10:uidLastSave="{00000000-0000-0000-0000-000000000000}"/>
  <bookViews>
    <workbookView xWindow="-110" yWindow="-110" windowWidth="19420" windowHeight="10300" firstSheet="2" activeTab="3" xr2:uid="{4DBFA136-5BD6-4195-A089-CBCC070F5D39}"/>
  </bookViews>
  <sheets>
    <sheet name="Sheet2" sheetId="2" state="hidden" r:id="rId1"/>
    <sheet name="Sheet3" sheetId="3" state="hidden" r:id="rId2"/>
    <sheet name="Dataset" sheetId="4" r:id="rId3"/>
    <sheet name="pivot table" sheetId="6" r:id="rId4"/>
    <sheet name="Home" sheetId="9" r:id="rId5"/>
    <sheet name="Overview" sheetId="10" r:id="rId6"/>
    <sheet name="More details" sheetId="12" r:id="rId7"/>
  </sheets>
  <definedNames>
    <definedName name="_xlchart.v1.0" hidden="1">'pivot table'!$P$14:$P$19</definedName>
    <definedName name="_xlchart.v1.1" hidden="1">'pivot table'!$Q$13</definedName>
    <definedName name="_xlchart.v1.2" hidden="1">'pivot table'!$Q$14:$Q$19</definedName>
    <definedName name="ExternalData_1" localSheetId="2" hidden="1">Dataset!$A$1:$Q$201</definedName>
    <definedName name="ExternalData_1" localSheetId="0" hidden="1">Sheet2!$A$1:$P$110</definedName>
    <definedName name="ExternalData_1" localSheetId="1" hidden="1">Sheet3!$A$1:$P$92</definedName>
    <definedName name="Slicer_Department">#N/A</definedName>
    <definedName name="Slicer_JobRole">#N/A</definedName>
    <definedName name="Slicer_Performanc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 i="6" l="1"/>
  <c r="B4" i="6" s="1"/>
  <c r="E9" i="6"/>
  <c r="B3" i="6" s="1"/>
  <c r="B2" i="6"/>
  <c r="D45" i="6"/>
  <c r="G22" i="6"/>
  <c r="E38" i="6"/>
  <c r="G16" i="6"/>
  <c r="G10" i="6"/>
  <c r="G5" i="6"/>
  <c r="B10" i="6" l="1"/>
  <c r="B5" i="6"/>
  <c r="B6" i="6"/>
  <c r="B7" i="6"/>
  <c r="B8" i="6"/>
  <c r="B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25658E-F4B4-4F8A-BB07-164EE1EB9F44}" keepAlive="1" name="Query - 1" description="Connection to the '1' query in the workbook." type="5" refreshedVersion="8" background="1" saveData="1">
    <dbPr connection="Provider=Microsoft.Mashup.OleDb.1;Data Source=$Workbook$;Location=1;Extended Properties=&quot;&quot;" command="SELECT * FROM [1]"/>
  </connection>
  <connection id="2" xr16:uid="{3D05014B-43A1-4F2F-91E0-46B8FA93D17E}" keepAlive="1" name="Query - 2" description="Connection to the '2' query in the workbook." type="5" refreshedVersion="8" background="1" saveData="1">
    <dbPr connection="Provider=Microsoft.Mashup.OleDb.1;Data Source=$Workbook$;Location=2;Extended Properties=&quot;&quot;" command="SELECT * FROM [2]"/>
  </connection>
  <connection id="3" xr16:uid="{F2066588-F5E4-48D3-91CD-E518CE226D7E}"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<sst xmlns="http://schemas.openxmlformats.org/spreadsheetml/2006/main" count="2183" uniqueCount="195">
  <si>
    <t>EmployeeID</t>
  </si>
  <si>
    <t>Name</t>
  </si>
  <si>
    <t>Department</t>
  </si>
  <si>
    <t>JobRole</t>
  </si>
  <si>
    <t>Gender</t>
  </si>
  <si>
    <t>Age</t>
  </si>
  <si>
    <t>HireDate</t>
  </si>
  <si>
    <t>ExitDate</t>
  </si>
  <si>
    <t>Salary</t>
  </si>
  <si>
    <t>PerformanceScore</t>
  </si>
  <si>
    <t>SatisfactionScore</t>
  </si>
  <si>
    <t>EngagementScore</t>
  </si>
  <si>
    <t>AbsenceDays</t>
  </si>
  <si>
    <t>OvertimeHours</t>
  </si>
  <si>
    <t>TrainingHours</t>
  </si>
  <si>
    <t>TrainingCost</t>
  </si>
  <si>
    <t>Amr Ibrahim</t>
  </si>
  <si>
    <t>Operations</t>
  </si>
  <si>
    <t>Operations Analyst</t>
  </si>
  <si>
    <t>Male</t>
  </si>
  <si>
    <t>Salma Mostafa</t>
  </si>
  <si>
    <t>Sales</t>
  </si>
  <si>
    <t>Sales Executive</t>
  </si>
  <si>
    <t>Female</t>
  </si>
  <si>
    <t>Mostafa Khaled</t>
  </si>
  <si>
    <t>HR</t>
  </si>
  <si>
    <t>Recruiter</t>
  </si>
  <si>
    <t>Mona Nabil</t>
  </si>
  <si>
    <t>Mona Ali</t>
  </si>
  <si>
    <t>Finance</t>
  </si>
  <si>
    <t>Financial Analyst</t>
  </si>
  <si>
    <t>Hassan Fathy</t>
  </si>
  <si>
    <t>HR Specialist</t>
  </si>
  <si>
    <t>Nour Sayed</t>
  </si>
  <si>
    <t>Omar Fathy</t>
  </si>
  <si>
    <t>Fatma Youssef</t>
  </si>
  <si>
    <t>Marketing</t>
  </si>
  <si>
    <t>Marketing Specialist</t>
  </si>
  <si>
    <t>Youssef Fathy</t>
  </si>
  <si>
    <t>IT</t>
  </si>
  <si>
    <t>Data Analyst</t>
  </si>
  <si>
    <t>Salma Nabil</t>
  </si>
  <si>
    <t>Hala Fathy</t>
  </si>
  <si>
    <t>Mona Mahmoud</t>
  </si>
  <si>
    <t>HR Manager</t>
  </si>
  <si>
    <t>Mostafa Nabil</t>
  </si>
  <si>
    <t>DBA</t>
  </si>
  <si>
    <t>Heba Hassan</t>
  </si>
  <si>
    <t>Karim Youssef</t>
  </si>
  <si>
    <t>Youssef Sayed</t>
  </si>
  <si>
    <t>Content Creator</t>
  </si>
  <si>
    <t>Mostafa Mahmoud</t>
  </si>
  <si>
    <t>Aya Youssef</t>
  </si>
  <si>
    <t>Mona Khaled</t>
  </si>
  <si>
    <t>Dina Hassan</t>
  </si>
  <si>
    <t>Omar Sayed</t>
  </si>
  <si>
    <t>Software Engineer</t>
  </si>
  <si>
    <t>Fatma Sayed</t>
  </si>
  <si>
    <t>Sara Mahmoud</t>
  </si>
  <si>
    <t>Aya Khaled</t>
  </si>
  <si>
    <t>Heba Ali</t>
  </si>
  <si>
    <t>BI Developer</t>
  </si>
  <si>
    <t>Amr Ali</t>
  </si>
  <si>
    <t>Account Manager</t>
  </si>
  <si>
    <t>Salma Sayed</t>
  </si>
  <si>
    <t>Fatma Ali</t>
  </si>
  <si>
    <t>Aya Nabil</t>
  </si>
  <si>
    <t>Rania Mahmoud</t>
  </si>
  <si>
    <t>Accountant</t>
  </si>
  <si>
    <t>Hala Ibrahim</t>
  </si>
  <si>
    <t>Mohamed Hassan</t>
  </si>
  <si>
    <t>Coordinator</t>
  </si>
  <si>
    <t>Mostafa Mostafa</t>
  </si>
  <si>
    <t>Hassan Mahmoud</t>
  </si>
  <si>
    <t>Karim Khaled</t>
  </si>
  <si>
    <t>Karim Mostafa</t>
  </si>
  <si>
    <t>Heba Sayed</t>
  </si>
  <si>
    <t>Amr Youssef</t>
  </si>
  <si>
    <t>Nour Ali</t>
  </si>
  <si>
    <t>Rania Mostafa</t>
  </si>
  <si>
    <t>Ahmed Mahmoud</t>
  </si>
  <si>
    <t>Hala Ali</t>
  </si>
  <si>
    <t>Mostafa Ali</t>
  </si>
  <si>
    <t>Hala Mahmoud</t>
  </si>
  <si>
    <t>Amr Mahmoud</t>
  </si>
  <si>
    <t>Hassan Khaled</t>
  </si>
  <si>
    <t>Dina Sayed</t>
  </si>
  <si>
    <t>Salma Khaled</t>
  </si>
  <si>
    <t>Hassan Nabil</t>
  </si>
  <si>
    <t>Salma Youssef</t>
  </si>
  <si>
    <t>Karim Ibrahim</t>
  </si>
  <si>
    <t>Omar Mahmoud</t>
  </si>
  <si>
    <t>Fatma Fathy</t>
  </si>
  <si>
    <t>Ahmed Youssef</t>
  </si>
  <si>
    <t>Heba Mahmoud</t>
  </si>
  <si>
    <t>Dina Ali</t>
  </si>
  <si>
    <t>Amr Mostafa</t>
  </si>
  <si>
    <t>Nour Mahmoud</t>
  </si>
  <si>
    <t>Mahmoud Mostafa</t>
  </si>
  <si>
    <t>Amr Fathy</t>
  </si>
  <si>
    <t>Heba Youssef</t>
  </si>
  <si>
    <t>Nour Youssef</t>
  </si>
  <si>
    <t>Dina Mahmoud</t>
  </si>
  <si>
    <t>Mostafa Sayed</t>
  </si>
  <si>
    <t>Karim Mahmoud</t>
  </si>
  <si>
    <t>Karim Nabil</t>
  </si>
  <si>
    <t>Mostafa Hassan</t>
  </si>
  <si>
    <t>Nour Mostafa</t>
  </si>
  <si>
    <t>Mohamed Youssef</t>
  </si>
  <si>
    <t>Rania Ibrahim</t>
  </si>
  <si>
    <t>Sara Nabil</t>
  </si>
  <si>
    <t>Karim Fathy</t>
  </si>
  <si>
    <t>Nour Hassan</t>
  </si>
  <si>
    <t>Omar Ibrahim</t>
  </si>
  <si>
    <t>Heba Nabil</t>
  </si>
  <si>
    <t>Mohamed Sayed</t>
  </si>
  <si>
    <t>Mohamed Ibrahim</t>
  </si>
  <si>
    <t>Youssef Ibrahim</t>
  </si>
  <si>
    <t>Hala Youssef</t>
  </si>
  <si>
    <t>Fatma Mahmoud</t>
  </si>
  <si>
    <t>Aya Hassan</t>
  </si>
  <si>
    <t>Omar Hassan</t>
  </si>
  <si>
    <t>Sara Youssef</t>
  </si>
  <si>
    <t>Ibrahim Sayed</t>
  </si>
  <si>
    <t>Ibrahim Ali</t>
  </si>
  <si>
    <t>Heba Fathy</t>
  </si>
  <si>
    <t>Mahmoud Sayed</t>
  </si>
  <si>
    <t>Youssef Khaled</t>
  </si>
  <si>
    <t>Mahmoud Fathy</t>
  </si>
  <si>
    <t>Aya Ali</t>
  </si>
  <si>
    <t>Nour Nabil</t>
  </si>
  <si>
    <t>Rania Youssef</t>
  </si>
  <si>
    <t>Hala Mostafa</t>
  </si>
  <si>
    <t>Aya Fathy</t>
  </si>
  <si>
    <t>Ibrahim Ibrahim</t>
  </si>
  <si>
    <t>Omar Youssef</t>
  </si>
  <si>
    <t>Hassan Ali</t>
  </si>
  <si>
    <t>Mahmoud Nabil</t>
  </si>
  <si>
    <t>Fatma Khaled</t>
  </si>
  <si>
    <t>Ibrahim Mahmoud</t>
  </si>
  <si>
    <t>Salma Ibrahim</t>
  </si>
  <si>
    <t>Omar Ali</t>
  </si>
  <si>
    <t>Rania Hassan</t>
  </si>
  <si>
    <t>Ahmed Ibrahim</t>
  </si>
  <si>
    <t>Mohamed Ali</t>
  </si>
  <si>
    <t>Hassan Hassan</t>
  </si>
  <si>
    <t>Sara Ibrahim</t>
  </si>
  <si>
    <t>Mona Youssef</t>
  </si>
  <si>
    <t>Nour Fathy</t>
  </si>
  <si>
    <t>Rania Ali</t>
  </si>
  <si>
    <t>Salma Fathy</t>
  </si>
  <si>
    <t>Nour Khaled</t>
  </si>
  <si>
    <t>Ahmed Sayed</t>
  </si>
  <si>
    <t>Aya Mostafa</t>
  </si>
  <si>
    <t>Mahmoud Mahmoud</t>
  </si>
  <si>
    <t>Ibrahim Hassan</t>
  </si>
  <si>
    <t>Heba Ibrahim</t>
  </si>
  <si>
    <t>Dina Fathy</t>
  </si>
  <si>
    <t>Rania Khaled</t>
  </si>
  <si>
    <t>Count of EmployeeID</t>
  </si>
  <si>
    <t>Row Labels</t>
  </si>
  <si>
    <t>value</t>
  </si>
  <si>
    <t>KPI</t>
  </si>
  <si>
    <t>Departments</t>
  </si>
  <si>
    <t>JOP ROLE</t>
  </si>
  <si>
    <t>AVG salary</t>
  </si>
  <si>
    <t>Average of Salary</t>
  </si>
  <si>
    <t>Average of PerformanceScore</t>
  </si>
  <si>
    <t>Avg performance</t>
  </si>
  <si>
    <t>Average of SatisfactionScore</t>
  </si>
  <si>
    <t>Average of EngagementScore</t>
  </si>
  <si>
    <t>Average of AbsenceDays</t>
  </si>
  <si>
    <t>count of Departments</t>
  </si>
  <si>
    <t>count of JOP ROLE</t>
  </si>
  <si>
    <t>Training cost 2</t>
  </si>
  <si>
    <t>medium cost</t>
  </si>
  <si>
    <t>very high cost</t>
  </si>
  <si>
    <t>high cost</t>
  </si>
  <si>
    <t>Performance</t>
  </si>
  <si>
    <t>good</t>
  </si>
  <si>
    <t>excelent</t>
  </si>
  <si>
    <t>very good</t>
  </si>
  <si>
    <t>Average of TrainingCost</t>
  </si>
  <si>
    <t xml:space="preserve"> </t>
  </si>
  <si>
    <t>Average of TrainingHours</t>
  </si>
  <si>
    <t>2018</t>
  </si>
  <si>
    <t>2019</t>
  </si>
  <si>
    <t>2020</t>
  </si>
  <si>
    <t>2021</t>
  </si>
  <si>
    <t>2022</t>
  </si>
  <si>
    <t>2023</t>
  </si>
  <si>
    <t>2024</t>
  </si>
  <si>
    <t>2025</t>
  </si>
  <si>
    <t>fair</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</si>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</sst>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0.0"/>
  </numFmts>
  <fonts count="3" x14ac:knownFonts="1">
    <font>
      <sz val="11"/>
      <color theme="1"/>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theme="5" tint="-0.499984740745262"/>
        <bgColor indexed="64"/>
      </patternFill>
    </fill>
    <fill>
      <patternFill patternType="solid">
        <fgColor theme="0" tint="-4.9989318521683403E-2"/>
        <bgColor indexed="64"/>
      </patternFill>
    </fill>
    <fill>
      <patternFill patternType="solid">
        <fgColor rgb="FF540486"/>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2" borderId="0" xfId="0" applyFont="1" applyFill="1"/>
    <xf numFmtId="164" fontId="0" fillId="0" borderId="0" xfId="0" applyNumberFormat="1"/>
    <xf numFmtId="2" fontId="0" fillId="0" borderId="0" xfId="0" applyNumberFormat="1"/>
    <xf numFmtId="0" fontId="0" fillId="3" borderId="0" xfId="0" applyFill="1"/>
    <xf numFmtId="0" fontId="0" fillId="0" borderId="0" xfId="0" applyAlignment="1">
      <alignment horizontal="left" indent="1"/>
    </xf>
    <xf numFmtId="165" fontId="0" fillId="0" borderId="0" xfId="0" applyNumberFormat="1"/>
    <xf numFmtId="0" fontId="0" fillId="4" borderId="0" xfId="0" applyFill="1"/>
  </cellXfs>
  <cellStyles count="1">
    <cellStyle name="Normal" xfId="0" builtinId="0"/>
  </cellStyles>
  <dxfs count="36">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_-[$$-409]* #,##0.00_ ;_-[$$-409]* \-#,##0.00\ ;_-[$$-409]* &quot;-&quot;??_ ;_-@_ "/>
    </dxf>
    <dxf>
      <numFmt numFmtId="164" formatCode="_-[$$-409]* #,##0.00_ ;_-[$$-409]* \-#,##0.00\ ;_-[$$-409]* &quot;-&quot;??_ ;_-@_ "/>
    </dxf>
    <dxf>
      <numFmt numFmtId="2" formatCode="0.00"/>
    </dxf>
    <dxf>
      <numFmt numFmtId="2" formatCode="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z val="12"/>
        <color theme="0"/>
        <name val="Arial Black"/>
        <family val="2"/>
        <scheme val="none"/>
      </font>
    </dxf>
    <dxf>
      <font>
        <strike val="0"/>
        <name val="Arial"/>
        <family val="2"/>
        <scheme val="none"/>
      </font>
      <fill>
        <patternFill patternType="solid">
          <fgColor auto="1"/>
          <bgColor rgb="FF3C096C"/>
        </patternFill>
      </fill>
    </dxf>
    <dxf>
      <font>
        <color theme="0"/>
        <name val="Arial Black"/>
        <family val="2"/>
        <scheme val="none"/>
      </font>
      <fill>
        <patternFill>
          <bgColor rgb="FF3D348B"/>
        </patternFill>
      </fill>
    </dxf>
  </dxfs>
  <tableStyles count="2" defaultTableStyle="TableStyleMedium2" defaultPivotStyle="PivotStyleLight16">
    <tableStyle name="Slicer Style 1" pivot="0" table="0" count="1" xr9:uid="{D1AD70B1-2DD4-4506-9DC9-2EB668D9F772}">
      <tableStyleElement type="headerRow" dxfId="35"/>
    </tableStyle>
    <tableStyle name="Slicer Style 2" pivot="0" table="0" count="6" xr9:uid="{72EAA340-D20E-41BC-901B-256124995071}">
      <tableStyleElement type="wholeTable" dxfId="34"/>
      <tableStyleElement type="headerRow" dxfId="33"/>
    </tableStyle>
  </tableStyles>
  <colors>
    <mruColors>
      <color rgb="FF540486"/>
      <color rgb="FF3B3B3B"/>
      <color rgb="FF9F4BBD"/>
      <color rgb="FFF7EDF3"/>
      <color rgb="FFE0AAFF"/>
      <color rgb="FFEDEDE9"/>
      <color rgb="FF3C096C"/>
      <color rgb="FF03045E"/>
      <color rgb="FF000000"/>
      <color rgb="FF3D348B"/>
    </mruColors>
  </colors>
  <extLst>
    <ext xmlns:x14="http://schemas.microsoft.com/office/spreadsheetml/2009/9/main" uri="{46F421CA-312F-682f-3DD2-61675219B42D}">
      <x14:dxfs count="4">
        <dxf>
          <fill>
            <patternFill>
              <bgColor theme="0" tint="-4.9989318521683403E-2"/>
            </patternFill>
          </fill>
        </dxf>
        <dxf>
          <font>
            <color theme="0"/>
          </font>
          <fill>
            <patternFill>
              <bgColor theme="0"/>
            </patternFill>
          </fill>
        </dxf>
        <dxf>
          <font>
            <color theme="0"/>
          </font>
          <fill>
            <patternFill>
              <bgColor rgb="FF3C096C"/>
            </patternFill>
          </fill>
          <border>
            <left style="thin">
              <color rgb="FFEDEDE9"/>
            </left>
            <right style="thin">
              <color rgb="FFEDEDE9"/>
            </right>
            <top style="thin">
              <color rgb="FFEDEDE9"/>
            </top>
            <bottom style="thin">
              <color rgb="FFEDEDE9"/>
            </bottom>
          </border>
        </dxf>
        <dxf>
          <font>
            <strike val="0"/>
            <color theme="0"/>
            <name val="Arial"/>
            <family val="2"/>
            <scheme val="none"/>
          </font>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rgbClr val="540486"/>
                </a:solidFill>
                <a:latin typeface="Arial Black" panose="020B0A04020102020204" pitchFamily="34" charset="0"/>
              </a:rPr>
              <a:t>How abscence days affect</a:t>
            </a:r>
            <a:r>
              <a:rPr lang="en-US" sz="1100" baseline="0">
                <a:solidFill>
                  <a:srgbClr val="540486"/>
                </a:solidFill>
                <a:latin typeface="Arial Black" panose="020B0A04020102020204" pitchFamily="34" charset="0"/>
              </a:rPr>
              <a:t> performance</a:t>
            </a:r>
            <a:endParaRPr lang="en-US" sz="1100">
              <a:solidFill>
                <a:srgbClr val="540486"/>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C09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7462202419449"/>
          <c:y val="0.28617920024459836"/>
          <c:w val="0.72994671047984416"/>
          <c:h val="0.57562187099596529"/>
        </c:manualLayout>
      </c:layout>
      <c:barChart>
        <c:barDir val="col"/>
        <c:grouping val="clustered"/>
        <c:varyColors val="0"/>
        <c:ser>
          <c:idx val="0"/>
          <c:order val="0"/>
          <c:tx>
            <c:strRef>
              <c:f>'pivot table'!$N$4</c:f>
              <c:strCache>
                <c:ptCount val="1"/>
                <c:pt idx="0">
                  <c:v>Total</c:v>
                </c:pt>
              </c:strCache>
            </c:strRef>
          </c:tx>
          <c:spPr>
            <a:solidFill>
              <a:srgbClr val="3C09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table'!$M$5:$M$8</c:f>
              <c:strCache>
                <c:ptCount val="4"/>
                <c:pt idx="0">
                  <c:v>excelent</c:v>
                </c:pt>
                <c:pt idx="1">
                  <c:v>good</c:v>
                </c:pt>
                <c:pt idx="2">
                  <c:v>very good</c:v>
                </c:pt>
                <c:pt idx="3">
                  <c:v>fair</c:v>
                </c:pt>
              </c:strCache>
            </c:strRef>
          </c:cat>
          <c:val>
            <c:numRef>
              <c:f>'pivot table'!$N$5:$N$8</c:f>
              <c:numCache>
                <c:formatCode>0.00</c:formatCode>
                <c:ptCount val="4"/>
                <c:pt idx="0">
                  <c:v>9.7142857142857135</c:v>
                </c:pt>
                <c:pt idx="1">
                  <c:v>10.050000000000001</c:v>
                </c:pt>
                <c:pt idx="2">
                  <c:v>11.455555555555556</c:v>
                </c:pt>
                <c:pt idx="3">
                  <c:v>12.4</c:v>
                </c:pt>
              </c:numCache>
            </c:numRef>
          </c:val>
          <c:extLst>
            <c:ext xmlns:c16="http://schemas.microsoft.com/office/drawing/2014/chart" uri="{C3380CC4-5D6E-409C-BE32-E72D297353CC}">
              <c16:uniqueId val="{00000000-2B6D-4019-BE14-F872351B0DEB}"/>
            </c:ext>
          </c:extLst>
        </c:ser>
        <c:dLbls>
          <c:showLegendKey val="0"/>
          <c:showVal val="0"/>
          <c:showCatName val="0"/>
          <c:showSerName val="0"/>
          <c:showPercent val="0"/>
          <c:showBubbleSize val="0"/>
        </c:dLbls>
        <c:gapWidth val="184"/>
        <c:overlap val="-99"/>
        <c:axId val="2141463680"/>
        <c:axId val="2141460800"/>
      </c:barChart>
      <c:catAx>
        <c:axId val="21414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460800"/>
        <c:crosses val="autoZero"/>
        <c:auto val="1"/>
        <c:lblAlgn val="ctr"/>
        <c:lblOffset val="100"/>
        <c:noMultiLvlLbl val="0"/>
      </c:catAx>
      <c:valAx>
        <c:axId val="21414608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0486"/>
                </a:solidFill>
                <a:latin typeface="+mn-lt"/>
                <a:ea typeface="+mn-ea"/>
                <a:cs typeface="+mn-cs"/>
              </a:defRPr>
            </a:pPr>
            <a:endParaRPr lang="en-US"/>
          </a:p>
        </c:txPr>
        <c:crossAx val="214146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 table!Average of AbsenceDays by department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40486"/>
                </a:solidFill>
              </a:rPr>
              <a:t>Absence Days by Department </a:t>
            </a:r>
          </a:p>
        </c:rich>
      </c:tx>
      <c:layout>
        <c:manualLayout>
          <c:xMode val="edge"/>
          <c:yMode val="edge"/>
          <c:x val="0.20295086585129274"/>
          <c:y val="2.9605268525613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096C"/>
          </a:solidFill>
          <a:ln w="82550">
            <a:solidFill>
              <a:srgbClr val="3C096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2993110925876"/>
          <c:y val="0.12996153413102829"/>
          <c:w val="0.78501001714232943"/>
          <c:h val="0.81354147032365121"/>
        </c:manualLayout>
      </c:layout>
      <c:barChart>
        <c:barDir val="bar"/>
        <c:grouping val="clustered"/>
        <c:varyColors val="0"/>
        <c:ser>
          <c:idx val="0"/>
          <c:order val="0"/>
          <c:tx>
            <c:strRef>
              <c:f>'pivot table'!$H$26</c:f>
              <c:strCache>
                <c:ptCount val="1"/>
                <c:pt idx="0">
                  <c:v>Total</c:v>
                </c:pt>
              </c:strCache>
            </c:strRef>
          </c:tx>
          <c:spPr>
            <a:solidFill>
              <a:srgbClr val="3C096C"/>
            </a:solidFill>
            <a:ln w="82550">
              <a:solidFill>
                <a:srgbClr val="3C096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table'!$G$27:$G$32</c:f>
              <c:strCache>
                <c:ptCount val="6"/>
                <c:pt idx="0">
                  <c:v>Finance</c:v>
                </c:pt>
                <c:pt idx="1">
                  <c:v>HR</c:v>
                </c:pt>
                <c:pt idx="2">
                  <c:v>IT</c:v>
                </c:pt>
                <c:pt idx="3">
                  <c:v>Marketing</c:v>
                </c:pt>
                <c:pt idx="4">
                  <c:v>Operations</c:v>
                </c:pt>
                <c:pt idx="5">
                  <c:v>Sales</c:v>
                </c:pt>
              </c:strCache>
            </c:strRef>
          </c:cat>
          <c:val>
            <c:numRef>
              <c:f>'pivot table'!$H$27:$H$32</c:f>
              <c:numCache>
                <c:formatCode>0.00</c:formatCode>
                <c:ptCount val="6"/>
                <c:pt idx="0">
                  <c:v>11.709677419354838</c:v>
                </c:pt>
                <c:pt idx="1">
                  <c:v>11.030303030303031</c:v>
                </c:pt>
                <c:pt idx="2">
                  <c:v>11.76923076923077</c:v>
                </c:pt>
                <c:pt idx="3">
                  <c:v>9.6410256410256405</c:v>
                </c:pt>
                <c:pt idx="4">
                  <c:v>9.0740740740740744</c:v>
                </c:pt>
                <c:pt idx="5">
                  <c:v>11.5</c:v>
                </c:pt>
              </c:numCache>
            </c:numRef>
          </c:val>
          <c:extLst>
            <c:ext xmlns:c16="http://schemas.microsoft.com/office/drawing/2014/chart" uri="{C3380CC4-5D6E-409C-BE32-E72D297353CC}">
              <c16:uniqueId val="{00000002-7429-425C-9338-93C8AAF5207D}"/>
            </c:ext>
          </c:extLst>
        </c:ser>
        <c:dLbls>
          <c:showLegendKey val="0"/>
          <c:showVal val="0"/>
          <c:showCatName val="0"/>
          <c:showSerName val="0"/>
          <c:showPercent val="0"/>
          <c:showBubbleSize val="0"/>
        </c:dLbls>
        <c:gapWidth val="150"/>
        <c:axId val="209234303"/>
        <c:axId val="209242943"/>
      </c:barChart>
      <c:catAx>
        <c:axId val="20923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3C096C"/>
                  </a:solidFill>
                </a:ln>
                <a:solidFill>
                  <a:srgbClr val="3C096C"/>
                </a:solidFill>
                <a:latin typeface="+mn-lt"/>
                <a:ea typeface="+mn-ea"/>
                <a:cs typeface="+mn-cs"/>
              </a:defRPr>
            </a:pPr>
            <a:endParaRPr lang="en-US"/>
          </a:p>
        </c:txPr>
        <c:crossAx val="209242943"/>
        <c:crosses val="autoZero"/>
        <c:auto val="1"/>
        <c:lblAlgn val="ctr"/>
        <c:lblOffset val="100"/>
        <c:noMultiLvlLbl val="0"/>
      </c:catAx>
      <c:valAx>
        <c:axId val="2092429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0486"/>
                </a:solidFill>
                <a:latin typeface="+mn-lt"/>
                <a:ea typeface="+mn-ea"/>
                <a:cs typeface="+mn-cs"/>
              </a:defRPr>
            </a:pPr>
            <a:endParaRPr lang="en-US"/>
          </a:p>
        </c:txPr>
        <c:crossAx val="2092343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 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540486"/>
                </a:solidFill>
              </a:rPr>
              <a:t>Training Cost by</a:t>
            </a:r>
            <a:r>
              <a:rPr lang="ar-EG" sz="1400" b="1" baseline="0">
                <a:solidFill>
                  <a:srgbClr val="540486"/>
                </a:solidFill>
              </a:rPr>
              <a:t> </a:t>
            </a:r>
            <a:r>
              <a:rPr lang="en-001" sz="1400" b="1" baseline="0">
                <a:solidFill>
                  <a:srgbClr val="540486"/>
                </a:solidFill>
              </a:rPr>
              <a:t>performance</a:t>
            </a:r>
            <a:endParaRPr lang="en-US" sz="1400">
              <a:solidFill>
                <a:srgbClr val="540486"/>
              </a:solidFill>
            </a:endParaRPr>
          </a:p>
        </c:rich>
      </c:tx>
      <c:layout>
        <c:manualLayout>
          <c:xMode val="edge"/>
          <c:yMode val="edge"/>
          <c:x val="0.11397900262467192"/>
          <c:y val="7.8052018289984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C09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C096C"/>
          </a:solidFill>
          <a:ln>
            <a:noFill/>
          </a:ln>
          <a:effectLst/>
        </c:spPr>
        <c:dLbl>
          <c:idx val="0"/>
          <c:layout>
            <c:manualLayout>
              <c:x val="-1.9444444444444445E-2"/>
              <c:y val="6.00400140692190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C096C"/>
          </a:solidFill>
          <a:ln>
            <a:noFill/>
          </a:ln>
          <a:effectLst/>
        </c:spPr>
      </c:pivotFmt>
      <c:pivotFmt>
        <c:idx val="5"/>
        <c:spPr>
          <a:solidFill>
            <a:srgbClr val="3C096C"/>
          </a:solidFill>
          <a:ln>
            <a:noFill/>
          </a:ln>
          <a:effectLst/>
        </c:spPr>
        <c:dLbl>
          <c:idx val="0"/>
          <c:layout>
            <c:manualLayout>
              <c:x val="1.3888888888888888E-2"/>
              <c:y val="-1.80120042207657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C096C"/>
          </a:solidFill>
          <a:ln>
            <a:noFill/>
          </a:ln>
          <a:effectLst/>
        </c:spPr>
      </c:pivotFmt>
      <c:pivotFmt>
        <c:idx val="7"/>
        <c:spPr>
          <a:solidFill>
            <a:srgbClr val="3C096C"/>
          </a:solidFill>
          <a:ln>
            <a:noFill/>
          </a:ln>
          <a:effectLst/>
        </c:spPr>
      </c:pivotFmt>
      <c:pivotFmt>
        <c:idx val="8"/>
        <c:spPr>
          <a:solidFill>
            <a:srgbClr val="3C096C"/>
          </a:solidFill>
          <a:ln>
            <a:noFill/>
          </a:ln>
          <a:effectLst/>
        </c:spPr>
      </c:pivotFmt>
      <c:pivotFmt>
        <c:idx val="9"/>
        <c:spPr>
          <a:solidFill>
            <a:srgbClr val="3C096C"/>
          </a:solidFill>
          <a:ln>
            <a:noFill/>
          </a:ln>
          <a:effectLst/>
        </c:spPr>
        <c:dLbl>
          <c:idx val="0"/>
          <c:layout>
            <c:manualLayout>
              <c:x val="-1.0185067526415994E-16"/>
              <c:y val="2.40160056276876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C096C"/>
          </a:solidFill>
          <a:ln>
            <a:noFill/>
          </a:ln>
          <a:effectLst/>
        </c:spPr>
        <c:dLbl>
          <c:idx val="0"/>
          <c:layout>
            <c:manualLayout>
              <c:x val="5.5555555555554534E-3"/>
              <c:y val="3.00200070346094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C096C"/>
          </a:solidFill>
          <a:ln>
            <a:noFill/>
          </a:ln>
          <a:effectLst/>
        </c:spPr>
        <c:dLbl>
          <c:idx val="0"/>
          <c:layout>
            <c:manualLayout>
              <c:x val="1.6666666666666666E-2"/>
              <c:y val="6.00400140692190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C096C"/>
          </a:solidFill>
          <a:ln>
            <a:noFill/>
          </a:ln>
          <a:effectLst/>
        </c:spPr>
        <c:dLbl>
          <c:idx val="0"/>
          <c:layout>
            <c:manualLayout>
              <c:x val="-5.0925337632079971E-17"/>
              <c:y val="3.0020007034609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table'!$N$12</c:f>
              <c:strCache>
                <c:ptCount val="1"/>
                <c:pt idx="0">
                  <c:v>Total</c:v>
                </c:pt>
              </c:strCache>
            </c:strRef>
          </c:tx>
          <c:spPr>
            <a:solidFill>
              <a:srgbClr val="3C096C"/>
            </a:solidFill>
            <a:ln>
              <a:noFill/>
            </a:ln>
            <a:effectLst/>
          </c:spPr>
          <c:invertIfNegative val="0"/>
          <c:dPt>
            <c:idx val="2"/>
            <c:invertIfNegative val="0"/>
            <c:bubble3D val="0"/>
            <c:extLst>
              <c:ext xmlns:c16="http://schemas.microsoft.com/office/drawing/2014/chart" uri="{C3380CC4-5D6E-409C-BE32-E72D297353CC}">
                <c16:uniqueId val="{0000000A-C1E1-4FEF-9CFC-97B4F273BE02}"/>
              </c:ext>
            </c:extLst>
          </c:dPt>
          <c:dPt>
            <c:idx val="3"/>
            <c:invertIfNegative val="0"/>
            <c:bubble3D val="0"/>
            <c:extLst>
              <c:ext xmlns:c16="http://schemas.microsoft.com/office/drawing/2014/chart" uri="{C3380CC4-5D6E-409C-BE32-E72D297353CC}">
                <c16:uniqueId val="{00000004-C1E1-4FEF-9CFC-97B4F273BE02}"/>
              </c:ext>
            </c:extLst>
          </c:dPt>
          <c:dPt>
            <c:idx val="8"/>
            <c:invertIfNegative val="0"/>
            <c:bubble3D val="0"/>
            <c:extLst>
              <c:ext xmlns:c16="http://schemas.microsoft.com/office/drawing/2014/chart" uri="{C3380CC4-5D6E-409C-BE32-E72D297353CC}">
                <c16:uniqueId val="{00000002-C1E1-4FEF-9CFC-97B4F273BE02}"/>
              </c:ext>
            </c:extLst>
          </c:dPt>
          <c:dPt>
            <c:idx val="9"/>
            <c:invertIfNegative val="0"/>
            <c:bubble3D val="0"/>
            <c:extLst>
              <c:ext xmlns:c16="http://schemas.microsoft.com/office/drawing/2014/chart" uri="{C3380CC4-5D6E-409C-BE32-E72D297353CC}">
                <c16:uniqueId val="{00000007-C1E1-4FEF-9CFC-97B4F273BE02}"/>
              </c:ext>
            </c:extLst>
          </c:dPt>
          <c:dPt>
            <c:idx val="10"/>
            <c:invertIfNegative val="0"/>
            <c:bubble3D val="0"/>
            <c:extLst>
              <c:ext xmlns:c16="http://schemas.microsoft.com/office/drawing/2014/chart" uri="{C3380CC4-5D6E-409C-BE32-E72D297353CC}">
                <c16:uniqueId val="{00000008-C1E1-4FEF-9CFC-97B4F273BE02}"/>
              </c:ext>
            </c:extLst>
          </c:dPt>
          <c:dPt>
            <c:idx val="11"/>
            <c:invertIfNegative val="0"/>
            <c:bubble3D val="0"/>
            <c:extLst>
              <c:ext xmlns:c16="http://schemas.microsoft.com/office/drawing/2014/chart" uri="{C3380CC4-5D6E-409C-BE32-E72D297353CC}">
                <c16:uniqueId val="{00000009-C1E1-4FEF-9CFC-97B4F273BE02}"/>
              </c:ext>
            </c:extLst>
          </c:dPt>
          <c:dLbls>
            <c:dLbl>
              <c:idx val="2"/>
              <c:layout>
                <c:manualLayout>
                  <c:x val="-5.0925337632079971E-17"/>
                  <c:y val="3.00200070346094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1E1-4FEF-9CFC-97B4F273BE02}"/>
                </c:ext>
              </c:extLst>
            </c:dLbl>
            <c:dLbl>
              <c:idx val="3"/>
              <c:layout>
                <c:manualLayout>
                  <c:x val="1.3888888888888888E-2"/>
                  <c:y val="-1.80120042207657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E1-4FEF-9CFC-97B4F273BE02}"/>
                </c:ext>
              </c:extLst>
            </c:dLbl>
            <c:dLbl>
              <c:idx val="8"/>
              <c:layout>
                <c:manualLayout>
                  <c:x val="-1.9444444444444445E-2"/>
                  <c:y val="6.00400140692190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E1-4FEF-9CFC-97B4F273BE02}"/>
                </c:ext>
              </c:extLst>
            </c:dLbl>
            <c:dLbl>
              <c:idx val="9"/>
              <c:layout>
                <c:manualLayout>
                  <c:x val="-1.0185067526415994E-16"/>
                  <c:y val="2.40160056276876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E1-4FEF-9CFC-97B4F273BE02}"/>
                </c:ext>
              </c:extLst>
            </c:dLbl>
            <c:dLbl>
              <c:idx val="10"/>
              <c:layout>
                <c:manualLayout>
                  <c:x val="5.5555555555554534E-3"/>
                  <c:y val="3.00200070346094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1E1-4FEF-9CFC-97B4F273BE02}"/>
                </c:ext>
              </c:extLst>
            </c:dLbl>
            <c:dLbl>
              <c:idx val="11"/>
              <c:layout>
                <c:manualLayout>
                  <c:x val="1.6666666666666666E-2"/>
                  <c:y val="6.00400140692190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E1-4FEF-9CFC-97B4F273B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table'!$M$13:$M$27</c:f>
              <c:multiLvlStrCache>
                <c:ptCount val="12"/>
                <c:lvl>
                  <c:pt idx="0">
                    <c:v>excelent</c:v>
                  </c:pt>
                  <c:pt idx="1">
                    <c:v>good</c:v>
                  </c:pt>
                  <c:pt idx="2">
                    <c:v>very good</c:v>
                  </c:pt>
                  <c:pt idx="3">
                    <c:v>fair</c:v>
                  </c:pt>
                  <c:pt idx="4">
                    <c:v>excelent</c:v>
                  </c:pt>
                  <c:pt idx="5">
                    <c:v>good</c:v>
                  </c:pt>
                  <c:pt idx="6">
                    <c:v>very good</c:v>
                  </c:pt>
                  <c:pt idx="7">
                    <c:v>fair</c:v>
                  </c:pt>
                  <c:pt idx="8">
                    <c:v>excelent</c:v>
                  </c:pt>
                  <c:pt idx="9">
                    <c:v>good</c:v>
                  </c:pt>
                  <c:pt idx="10">
                    <c:v>very good</c:v>
                  </c:pt>
                  <c:pt idx="11">
                    <c:v>fair</c:v>
                  </c:pt>
                </c:lvl>
                <c:lvl>
                  <c:pt idx="0">
                    <c:v>high cost</c:v>
                  </c:pt>
                  <c:pt idx="4">
                    <c:v>medium cost</c:v>
                  </c:pt>
                  <c:pt idx="8">
                    <c:v>very high cost</c:v>
                  </c:pt>
                </c:lvl>
              </c:multiLvlStrCache>
            </c:multiLvlStrRef>
          </c:cat>
          <c:val>
            <c:numRef>
              <c:f>'pivot table'!$N$13:$N$27</c:f>
              <c:numCache>
                <c:formatCode>0.0</c:formatCode>
                <c:ptCount val="12"/>
                <c:pt idx="0">
                  <c:v>1143.25</c:v>
                </c:pt>
                <c:pt idx="1">
                  <c:v>1287.8181818181818</c:v>
                </c:pt>
                <c:pt idx="2">
                  <c:v>1199.9354838709678</c:v>
                </c:pt>
                <c:pt idx="3">
                  <c:v>1054</c:v>
                </c:pt>
                <c:pt idx="4">
                  <c:v>552.15</c:v>
                </c:pt>
                <c:pt idx="5">
                  <c:v>509.77419354838707</c:v>
                </c:pt>
                <c:pt idx="6">
                  <c:v>550.90625</c:v>
                </c:pt>
                <c:pt idx="7">
                  <c:v>660.6</c:v>
                </c:pt>
                <c:pt idx="8">
                  <c:v>1779.8571428571429</c:v>
                </c:pt>
                <c:pt idx="9">
                  <c:v>1718.9444444444443</c:v>
                </c:pt>
                <c:pt idx="10">
                  <c:v>1709.7037037037037</c:v>
                </c:pt>
                <c:pt idx="11">
                  <c:v>1828.6666666666667</c:v>
                </c:pt>
              </c:numCache>
            </c:numRef>
          </c:val>
          <c:extLst>
            <c:ext xmlns:c16="http://schemas.microsoft.com/office/drawing/2014/chart" uri="{C3380CC4-5D6E-409C-BE32-E72D297353CC}">
              <c16:uniqueId val="{00000000-C1E1-4FEF-9CFC-97B4F273BE02}"/>
            </c:ext>
          </c:extLst>
        </c:ser>
        <c:dLbls>
          <c:dLblPos val="outEnd"/>
          <c:showLegendKey val="0"/>
          <c:showVal val="1"/>
          <c:showCatName val="0"/>
          <c:showSerName val="0"/>
          <c:showPercent val="0"/>
          <c:showBubbleSize val="0"/>
        </c:dLbls>
        <c:gapWidth val="219"/>
        <c:overlap val="-27"/>
        <c:axId val="481497792"/>
        <c:axId val="481474752"/>
      </c:barChart>
      <c:catAx>
        <c:axId val="481497792"/>
        <c:scaling>
          <c:orientation val="minMax"/>
        </c:scaling>
        <c:delete val="0"/>
        <c:axPos val="b"/>
        <c:numFmt formatCode="General" sourceLinked="1"/>
        <c:majorTickMark val="none"/>
        <c:minorTickMark val="none"/>
        <c:tickLblPos val="nextTo"/>
        <c:spPr>
          <a:noFill/>
          <a:ln w="9525" cap="flat" cmpd="sng" algn="ctr">
            <a:solidFill>
              <a:srgbClr val="3C096C"/>
            </a:solidFill>
            <a:round/>
          </a:ln>
          <a:effectLst/>
        </c:spPr>
        <c:txPr>
          <a:bodyPr rot="-60000000" spcFirstLastPara="1" vertOverflow="ellipsis" vert="horz" wrap="square" anchor="ctr" anchorCtr="1"/>
          <a:lstStyle/>
          <a:p>
            <a:pPr>
              <a:defRPr sz="900" b="0" i="0" u="none" strike="noStrike" kern="1200" baseline="0">
                <a:solidFill>
                  <a:srgbClr val="540486"/>
                </a:solidFill>
                <a:latin typeface="+mn-lt"/>
                <a:ea typeface="+mn-ea"/>
                <a:cs typeface="+mn-cs"/>
              </a:defRPr>
            </a:pPr>
            <a:endParaRPr lang="en-US"/>
          </a:p>
        </c:txPr>
        <c:crossAx val="481474752"/>
        <c:crosses val="autoZero"/>
        <c:auto val="1"/>
        <c:lblAlgn val="ctr"/>
        <c:lblOffset val="100"/>
        <c:noMultiLvlLbl val="0"/>
      </c:catAx>
      <c:valAx>
        <c:axId val="4814747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0486"/>
                </a:solidFill>
                <a:latin typeface="+mn-lt"/>
                <a:ea typeface="+mn-ea"/>
                <a:cs typeface="+mn-cs"/>
              </a:defRPr>
            </a:pPr>
            <a:endParaRPr lang="en-US"/>
          </a:p>
        </c:txPr>
        <c:crossAx val="48149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 table!PivotTable8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C096C"/>
                </a:solidFill>
                <a:latin typeface="Arial Black" panose="020B0A04020102020204" pitchFamily="34" charset="0"/>
              </a:rPr>
              <a:t>Average </a:t>
            </a:r>
            <a:r>
              <a:rPr lang="en-US" sz="1000" b="1" baseline="0">
                <a:solidFill>
                  <a:srgbClr val="3C096C"/>
                </a:solidFill>
                <a:latin typeface="Arial Black" panose="020B0A04020102020204" pitchFamily="34" charset="0"/>
              </a:rPr>
              <a:t>performan</a:t>
            </a:r>
            <a:r>
              <a:rPr lang="en-001" sz="1000" b="1" baseline="0">
                <a:solidFill>
                  <a:srgbClr val="3C096C"/>
                </a:solidFill>
                <a:latin typeface="Arial Black" panose="020B0A04020102020204" pitchFamily="34" charset="0"/>
              </a:rPr>
              <a:t>c</a:t>
            </a:r>
            <a:r>
              <a:rPr lang="en-US" sz="1000" b="1" baseline="0">
                <a:solidFill>
                  <a:srgbClr val="3C096C"/>
                </a:solidFill>
                <a:latin typeface="Arial Black" panose="020B0A04020102020204" pitchFamily="34" charset="0"/>
              </a:rPr>
              <a:t>e by each year</a:t>
            </a:r>
            <a:endParaRPr lang="en-US" sz="1000" b="1">
              <a:solidFill>
                <a:srgbClr val="3C096C"/>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3C09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3C096C"/>
            </a:solidFill>
            <a:round/>
          </a:ln>
          <a:effectLst/>
        </c:spPr>
        <c:marker>
          <c:symbol val="none"/>
        </c:marker>
        <c:dLbl>
          <c:idx val="0"/>
          <c:layout>
            <c:manualLayout>
              <c:x val="-0.1014084394578641"/>
              <c:y val="-5.438056892351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3C096C"/>
            </a:solidFill>
            <a:round/>
          </a:ln>
          <a:effectLst/>
        </c:spPr>
        <c:marker>
          <c:symbol val="none"/>
        </c:marker>
        <c:dLbl>
          <c:idx val="0"/>
          <c:layout>
            <c:manualLayout>
              <c:x val="-7.9225343326456352E-2"/>
              <c:y val="0.10876092375030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813378527960681"/>
                  <c:h val="7.6051439736267074E-2"/>
                </c:manualLayout>
              </c15:layout>
            </c:ext>
          </c:extLst>
        </c:dLbl>
      </c:pivotFmt>
      <c:pivotFmt>
        <c:idx val="5"/>
        <c:spPr>
          <a:ln w="38100" cap="rnd">
            <a:solidFill>
              <a:srgbClr val="3C096C"/>
            </a:solidFill>
            <a:round/>
          </a:ln>
          <a:effectLst/>
        </c:spPr>
        <c:marker>
          <c:symbol val="none"/>
        </c:marker>
        <c:dLbl>
          <c:idx val="0"/>
          <c:layout>
            <c:manualLayout>
              <c:x val="-5.0704219728932048E-2"/>
              <c:y val="-5.4380568923517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rgbClr val="3C096C"/>
            </a:solidFill>
            <a:round/>
          </a:ln>
          <a:effectLst/>
        </c:spPr>
        <c:marker>
          <c:symbol val="none"/>
        </c:marker>
        <c:dLbl>
          <c:idx val="0"/>
          <c:layout>
            <c:manualLayout>
              <c:x val="-1.2676054932233012E-2"/>
              <c:y val="3.8066398246462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rgbClr val="3C096C"/>
            </a:solidFill>
            <a:round/>
          </a:ln>
          <a:effectLst/>
        </c:spPr>
        <c:marker>
          <c:symbol val="none"/>
        </c:marker>
        <c:dLbl>
          <c:idx val="0"/>
          <c:layout>
            <c:manualLayout>
              <c:x val="0"/>
              <c:y val="-3.2628341354110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1561899571709"/>
          <c:y val="0.13151062797567689"/>
          <c:w val="0.81298826262591239"/>
          <c:h val="0.72088764946048411"/>
        </c:manualLayout>
      </c:layout>
      <c:lineChart>
        <c:grouping val="standard"/>
        <c:varyColors val="0"/>
        <c:ser>
          <c:idx val="0"/>
          <c:order val="0"/>
          <c:tx>
            <c:strRef>
              <c:f>'pivot table'!$Q$23</c:f>
              <c:strCache>
                <c:ptCount val="1"/>
                <c:pt idx="0">
                  <c:v>Total</c:v>
                </c:pt>
              </c:strCache>
            </c:strRef>
          </c:tx>
          <c:spPr>
            <a:ln w="38100" cap="rnd">
              <a:solidFill>
                <a:srgbClr val="3C096C"/>
              </a:solidFill>
              <a:round/>
            </a:ln>
            <a:effectLst/>
          </c:spPr>
          <c:marker>
            <c:symbol val="none"/>
          </c:marker>
          <c:dPt>
            <c:idx val="0"/>
            <c:marker>
              <c:symbol val="none"/>
            </c:marker>
            <c:bubble3D val="0"/>
            <c:extLst>
              <c:ext xmlns:c16="http://schemas.microsoft.com/office/drawing/2014/chart" uri="{C3380CC4-5D6E-409C-BE32-E72D297353CC}">
                <c16:uniqueId val="{00000002-FA7C-4A25-A596-516766EE405A}"/>
              </c:ext>
            </c:extLst>
          </c:dPt>
          <c:dPt>
            <c:idx val="1"/>
            <c:marker>
              <c:symbol val="none"/>
            </c:marker>
            <c:bubble3D val="0"/>
            <c:extLst>
              <c:ext xmlns:c16="http://schemas.microsoft.com/office/drawing/2014/chart" uri="{C3380CC4-5D6E-409C-BE32-E72D297353CC}">
                <c16:uniqueId val="{00000001-FA7C-4A25-A596-516766EE405A}"/>
              </c:ext>
            </c:extLst>
          </c:dPt>
          <c:dPt>
            <c:idx val="5"/>
            <c:marker>
              <c:symbol val="none"/>
            </c:marker>
            <c:bubble3D val="0"/>
            <c:extLst>
              <c:ext xmlns:c16="http://schemas.microsoft.com/office/drawing/2014/chart" uri="{C3380CC4-5D6E-409C-BE32-E72D297353CC}">
                <c16:uniqueId val="{00000003-FA7C-4A25-A596-516766EE405A}"/>
              </c:ext>
            </c:extLst>
          </c:dPt>
          <c:dPt>
            <c:idx val="6"/>
            <c:marker>
              <c:symbol val="none"/>
            </c:marker>
            <c:bubble3D val="0"/>
            <c:extLst>
              <c:ext xmlns:c16="http://schemas.microsoft.com/office/drawing/2014/chart" uri="{C3380CC4-5D6E-409C-BE32-E72D297353CC}">
                <c16:uniqueId val="{00000004-FA7C-4A25-A596-516766EE405A}"/>
              </c:ext>
            </c:extLst>
          </c:dPt>
          <c:dPt>
            <c:idx val="7"/>
            <c:marker>
              <c:symbol val="none"/>
            </c:marker>
            <c:bubble3D val="0"/>
            <c:extLst>
              <c:ext xmlns:c16="http://schemas.microsoft.com/office/drawing/2014/chart" uri="{C3380CC4-5D6E-409C-BE32-E72D297353CC}">
                <c16:uniqueId val="{00000005-FA7C-4A25-A596-516766EE405A}"/>
              </c:ext>
            </c:extLst>
          </c:dPt>
          <c:dLbls>
            <c:dLbl>
              <c:idx val="0"/>
              <c:layout>
                <c:manualLayout>
                  <c:x val="-7.9225343326456352E-2"/>
                  <c:y val="0.10876092375030659"/>
                </c:manualLayout>
              </c:layout>
              <c:showLegendKey val="0"/>
              <c:showVal val="1"/>
              <c:showCatName val="0"/>
              <c:showSerName val="0"/>
              <c:showPercent val="0"/>
              <c:showBubbleSize val="0"/>
              <c:extLst>
                <c:ext xmlns:c15="http://schemas.microsoft.com/office/drawing/2012/chart" uri="{CE6537A1-D6FC-4f65-9D91-7224C49458BB}">
                  <c15:layout>
                    <c:manualLayout>
                      <c:w val="0.15813378527960681"/>
                      <c:h val="7.6051439736267074E-2"/>
                    </c:manualLayout>
                  </c15:layout>
                </c:ext>
                <c:ext xmlns:c16="http://schemas.microsoft.com/office/drawing/2014/chart" uri="{C3380CC4-5D6E-409C-BE32-E72D297353CC}">
                  <c16:uniqueId val="{00000002-FA7C-4A25-A596-516766EE405A}"/>
                </c:ext>
              </c:extLst>
            </c:dLbl>
            <c:dLbl>
              <c:idx val="1"/>
              <c:layout>
                <c:manualLayout>
                  <c:x val="-0.1014084394578641"/>
                  <c:y val="-5.438056892351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7C-4A25-A596-516766EE405A}"/>
                </c:ext>
              </c:extLst>
            </c:dLbl>
            <c:dLbl>
              <c:idx val="5"/>
              <c:layout>
                <c:manualLayout>
                  <c:x val="-5.0704219728932048E-2"/>
                  <c:y val="-5.4380568923517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7C-4A25-A596-516766EE405A}"/>
                </c:ext>
              </c:extLst>
            </c:dLbl>
            <c:dLbl>
              <c:idx val="6"/>
              <c:layout>
                <c:manualLayout>
                  <c:x val="-1.2676054932233012E-2"/>
                  <c:y val="3.8066398246462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7C-4A25-A596-516766EE405A}"/>
                </c:ext>
              </c:extLst>
            </c:dLbl>
            <c:dLbl>
              <c:idx val="7"/>
              <c:layout>
                <c:manualLayout>
                  <c:x val="0"/>
                  <c:y val="-3.2628341354110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7C-4A25-A596-516766EE40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table'!$P$24:$P$31</c:f>
              <c:strCache>
                <c:ptCount val="8"/>
                <c:pt idx="0">
                  <c:v>2018</c:v>
                </c:pt>
                <c:pt idx="1">
                  <c:v>2019</c:v>
                </c:pt>
                <c:pt idx="2">
                  <c:v>2020</c:v>
                </c:pt>
                <c:pt idx="3">
                  <c:v>2021</c:v>
                </c:pt>
                <c:pt idx="4">
                  <c:v>2022</c:v>
                </c:pt>
                <c:pt idx="5">
                  <c:v>2023</c:v>
                </c:pt>
                <c:pt idx="6">
                  <c:v>2024</c:v>
                </c:pt>
                <c:pt idx="7">
                  <c:v>2025</c:v>
                </c:pt>
              </c:strCache>
            </c:strRef>
          </c:cat>
          <c:val>
            <c:numRef>
              <c:f>'pivot table'!$Q$24:$Q$31</c:f>
              <c:numCache>
                <c:formatCode>0.00</c:formatCode>
                <c:ptCount val="8"/>
                <c:pt idx="0">
                  <c:v>3.5513333333333326</c:v>
                </c:pt>
                <c:pt idx="1">
                  <c:v>3.6052380952380951</c:v>
                </c:pt>
                <c:pt idx="2">
                  <c:v>3.5399999999999996</c:v>
                </c:pt>
                <c:pt idx="3">
                  <c:v>4.088064516129033</c:v>
                </c:pt>
                <c:pt idx="4">
                  <c:v>3.7070588235294117</c:v>
                </c:pt>
                <c:pt idx="5">
                  <c:v>3.927037037037036</c:v>
                </c:pt>
                <c:pt idx="6">
                  <c:v>3.8881250000000001</c:v>
                </c:pt>
                <c:pt idx="7">
                  <c:v>4.01</c:v>
                </c:pt>
              </c:numCache>
            </c:numRef>
          </c:val>
          <c:smooth val="0"/>
          <c:extLst>
            <c:ext xmlns:c16="http://schemas.microsoft.com/office/drawing/2014/chart" uri="{C3380CC4-5D6E-409C-BE32-E72D297353CC}">
              <c16:uniqueId val="{00000000-FA7C-4A25-A596-516766EE405A}"/>
            </c:ext>
          </c:extLst>
        </c:ser>
        <c:dLbls>
          <c:showLegendKey val="0"/>
          <c:showVal val="0"/>
          <c:showCatName val="0"/>
          <c:showSerName val="0"/>
          <c:showPercent val="0"/>
          <c:showBubbleSize val="0"/>
        </c:dLbls>
        <c:smooth val="0"/>
        <c:axId val="2113324880"/>
        <c:axId val="2113328720"/>
      </c:lineChart>
      <c:catAx>
        <c:axId val="21133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328720"/>
        <c:crosses val="autoZero"/>
        <c:auto val="1"/>
        <c:lblAlgn val="ctr"/>
        <c:lblOffset val="100"/>
        <c:noMultiLvlLbl val="0"/>
      </c:catAx>
      <c:valAx>
        <c:axId val="21133287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32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project.xlsx]pivot table!PivotTable2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rgbClr val="3C096C"/>
                </a:solidFill>
                <a:effectLst/>
              </a:rPr>
              <a:t>Average of TrainingHours by perf</a:t>
            </a:r>
            <a:r>
              <a:rPr lang="en-001" sz="1100" b="1" i="0" u="none" strike="noStrike" baseline="0">
                <a:solidFill>
                  <a:srgbClr val="3C096C"/>
                </a:solidFill>
                <a:effectLst/>
              </a:rPr>
              <a:t>o</a:t>
            </a:r>
            <a:r>
              <a:rPr lang="en-US" sz="1100" b="1" i="0" u="none" strike="noStrike" baseline="0">
                <a:solidFill>
                  <a:srgbClr val="3C096C"/>
                </a:solidFill>
                <a:effectLst/>
              </a:rPr>
              <a:t>rmance </a:t>
            </a:r>
            <a:endParaRPr lang="en-US" sz="1100" b="1">
              <a:solidFill>
                <a:srgbClr val="3C096C"/>
              </a:solidFill>
            </a:endParaRPr>
          </a:p>
        </c:rich>
      </c:tx>
      <c:layout>
        <c:manualLayout>
          <c:xMode val="edge"/>
          <c:yMode val="edge"/>
          <c:x val="0.15986301421560878"/>
          <c:y val="1.2811427389722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21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3"/>
          </a:solidFill>
          <a:ln w="19050">
            <a:solidFill>
              <a:schemeClr val="lt1"/>
            </a:solidFill>
          </a:ln>
          <a:effectLst/>
        </c:spPr>
        <c:dLbl>
          <c:idx val="0"/>
          <c:layout>
            <c:manualLayout>
              <c:x val="-5.7804985359489027E-3"/>
              <c:y val="5.1788110333310676E-2"/>
            </c:manualLayout>
          </c:layout>
          <c:spPr>
            <a:noFill/>
            <a:ln>
              <a:noFill/>
            </a:ln>
            <a:effectLst/>
          </c:spPr>
          <c:txPr>
            <a:bodyPr rot="5400000" spcFirstLastPara="1" vertOverflow="ellipsis" vert="horz" wrap="square" lIns="0" tIns="36000" rIns="72000" bIns="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71868978805393"/>
                  <c:h val="0.11336640873035135"/>
                </c:manualLayout>
              </c15:layout>
            </c:ext>
          </c:extLst>
        </c:dLbl>
      </c:pivotFmt>
      <c:pivotFmt>
        <c:idx val="2"/>
        <c:spPr>
          <a:solidFill>
            <a:schemeClr val="accent2"/>
          </a:solidFill>
          <a:ln w="19050">
            <a:solidFill>
              <a:schemeClr val="lt1"/>
            </a:solidFill>
          </a:ln>
          <a:effectLst/>
        </c:spPr>
        <c:dLbl>
          <c:idx val="0"/>
          <c:layout>
            <c:manualLayout>
              <c:x val="-3.4682080924855488E-2"/>
              <c:y val="9.8643649815043158E-3"/>
            </c:manualLayout>
          </c:layout>
          <c:spPr>
            <a:noFill/>
            <a:ln>
              <a:noFill/>
            </a:ln>
            <a:effectLst/>
          </c:spPr>
          <c:txPr>
            <a:bodyPr rot="21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21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3.4682080924855488E-2"/>
              <c:y val="9.8643649815043158E-3"/>
            </c:manualLayout>
          </c:layout>
          <c:spPr>
            <a:noFill/>
            <a:ln>
              <a:noFill/>
            </a:ln>
            <a:effectLst/>
          </c:spPr>
          <c:txPr>
            <a:bodyPr rot="21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c:spPr>
        <c:dLbl>
          <c:idx val="0"/>
          <c:layout>
            <c:manualLayout>
              <c:x val="-5.7804985359489027E-3"/>
              <c:y val="5.1788110333310676E-2"/>
            </c:manualLayout>
          </c:layout>
          <c:spPr>
            <a:noFill/>
            <a:ln>
              <a:noFill/>
            </a:ln>
            <a:effectLst/>
          </c:spPr>
          <c:txPr>
            <a:bodyPr rot="540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71868978805393"/>
                  <c:h val="0.11336640873035135"/>
                </c:manualLayout>
              </c15:layout>
            </c:ext>
          </c:extLst>
        </c:dLbl>
      </c:pivotFmt>
      <c:pivotFmt>
        <c:idx val="7"/>
        <c:spPr>
          <a:solidFill>
            <a:srgbClr val="3C096C"/>
          </a:solidFill>
          <a:ln w="19050">
            <a:noFill/>
          </a:ln>
          <a:effectLst/>
        </c:spPr>
        <c:marker>
          <c:symbol val="none"/>
        </c:marker>
        <c:dLbl>
          <c:idx val="0"/>
          <c:spPr>
            <a:noFill/>
            <a:ln>
              <a:noFill/>
            </a:ln>
            <a:effectLst/>
          </c:spPr>
          <c:txPr>
            <a:bodyPr rot="204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3C096C"/>
          </a:solidFill>
          <a:ln w="19050">
            <a:noFill/>
          </a:ln>
          <a:effectLst/>
        </c:spPr>
        <c:dLbl>
          <c:idx val="0"/>
          <c:layout>
            <c:manualLayout>
              <c:x val="-6.1657032755298651E-2"/>
              <c:y val="-5.9826595041335855E-2"/>
            </c:manualLayout>
          </c:layout>
          <c:tx>
            <c:rich>
              <a:bodyPr rot="204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9FC352F3-230F-4EAD-AC74-B48166D0F2CE}" type="VALUE">
                  <a:rPr lang="en-US" sz="10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204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558311713925932"/>
                  <c:h val="0.230847911414857"/>
                </c:manualLayout>
              </c15:layout>
              <c15:dlblFieldTable/>
              <c15:showDataLabelsRange val="0"/>
            </c:ext>
          </c:extLst>
        </c:dLbl>
      </c:pivotFmt>
      <c:pivotFmt>
        <c:idx val="9"/>
        <c:spPr>
          <a:solidFill>
            <a:srgbClr val="9F4BBD"/>
          </a:solidFill>
          <a:ln w="19050">
            <a:noFill/>
          </a:ln>
          <a:effectLst/>
        </c:spPr>
        <c:dLbl>
          <c:idx val="0"/>
          <c:layout>
            <c:manualLayout>
              <c:x val="9.9350659202281054E-3"/>
              <c:y val="-5.7426157883225014E-3"/>
            </c:manualLayout>
          </c:layout>
          <c:tx>
            <c:rich>
              <a:bodyPr rot="-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2B01D765-4945-4BCD-94F0-E22ACD09B2F3}" type="VALUE">
                  <a:rPr lang="en-US" sz="10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2015839060579855"/>
                  <c:h val="0.16314657167598851"/>
                </c:manualLayout>
              </c15:layout>
              <c15:dlblFieldTable/>
              <c15:showDataLabelsRange val="0"/>
            </c:ext>
          </c:extLst>
        </c:dLbl>
      </c:pivotFmt>
      <c:pivotFmt>
        <c:idx val="10"/>
        <c:spPr>
          <a:solidFill>
            <a:srgbClr val="E0AAFF"/>
          </a:solidFill>
          <a:ln w="19050">
            <a:noFill/>
          </a:ln>
          <a:effectLst/>
        </c:spPr>
        <c:dLbl>
          <c:idx val="0"/>
          <c:layout>
            <c:manualLayout>
              <c:x val="-5.7804985359489027E-3"/>
              <c:y val="5.1788110333310676E-2"/>
            </c:manualLayout>
          </c:layout>
          <c:tx>
            <c:rich>
              <a:bodyPr rot="540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fld id="{44DD7505-13CF-43B0-B3F5-5AD809AB204B}" type="VALUE">
                  <a:rPr lang="en-US" sz="10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540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1371868978805393"/>
                  <c:h val="0.11336640873035135"/>
                </c:manualLayout>
              </c15:layout>
              <c15:dlblFieldTable/>
              <c15:showDataLabelsRange val="0"/>
            </c:ext>
          </c:extLst>
        </c:dLbl>
      </c:pivotFmt>
      <c:pivotFmt>
        <c:idx val="11"/>
        <c:spPr>
          <a:solidFill>
            <a:srgbClr val="3C096C"/>
          </a:solidFill>
          <a:ln w="19050">
            <a:noFill/>
          </a:ln>
          <a:effectLst/>
        </c:spPr>
        <c:marker>
          <c:symbol val="none"/>
        </c:marker>
        <c:dLbl>
          <c:idx val="0"/>
          <c:spPr>
            <a:noFill/>
            <a:ln>
              <a:noFill/>
            </a:ln>
            <a:effectLst/>
          </c:spPr>
          <c:txPr>
            <a:bodyPr rot="204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3C096C"/>
          </a:solidFill>
          <a:ln w="19050">
            <a:noFill/>
          </a:ln>
          <a:effectLst/>
        </c:spPr>
        <c:dLbl>
          <c:idx val="0"/>
          <c:layout>
            <c:manualLayout>
              <c:x val="-6.1657032755298651E-2"/>
              <c:y val="-5.9826595041335855E-2"/>
            </c:manualLayout>
          </c:layout>
          <c:tx>
            <c:rich>
              <a:bodyPr rot="204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9FC352F3-230F-4EAD-AC74-B48166D0F2CE}" type="VALUE">
                  <a:rPr lang="en-US" sz="10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204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558311713925932"/>
                  <c:h val="0.230847911414857"/>
                </c:manualLayout>
              </c15:layout>
              <c15:dlblFieldTable/>
              <c15:showDataLabelsRange val="0"/>
            </c:ext>
          </c:extLst>
        </c:dLbl>
      </c:pivotFmt>
      <c:pivotFmt>
        <c:idx val="13"/>
        <c:spPr>
          <a:solidFill>
            <a:srgbClr val="9F4BBD"/>
          </a:solidFill>
          <a:ln w="19050">
            <a:noFill/>
          </a:ln>
          <a:effectLst/>
        </c:spPr>
        <c:dLbl>
          <c:idx val="0"/>
          <c:layout>
            <c:manualLayout>
              <c:x val="9.9350659202281054E-3"/>
              <c:y val="-5.7426157883225014E-3"/>
            </c:manualLayout>
          </c:layout>
          <c:tx>
            <c:rich>
              <a:bodyPr rot="-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2B01D765-4945-4BCD-94F0-E22ACD09B2F3}" type="VALUE">
                  <a:rPr lang="en-US" sz="10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2015839060579855"/>
                  <c:h val="0.16314657167598851"/>
                </c:manualLayout>
              </c15:layout>
              <c15:dlblFieldTable/>
              <c15:showDataLabelsRange val="0"/>
            </c:ext>
          </c:extLst>
        </c:dLbl>
      </c:pivotFmt>
      <c:pivotFmt>
        <c:idx val="14"/>
        <c:spPr>
          <a:solidFill>
            <a:srgbClr val="E0AAFF"/>
          </a:solidFill>
          <a:ln w="19050">
            <a:noFill/>
          </a:ln>
          <a:effectLst/>
        </c:spPr>
        <c:dLbl>
          <c:idx val="0"/>
          <c:layout>
            <c:manualLayout>
              <c:x val="-5.7804985359489027E-3"/>
              <c:y val="5.1788110333310676E-2"/>
            </c:manualLayout>
          </c:layout>
          <c:tx>
            <c:rich>
              <a:bodyPr rot="540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fld id="{44DD7505-13CF-43B0-B3F5-5AD809AB204B}" type="VALUE">
                  <a:rPr lang="en-US" sz="1000" b="1"/>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540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1371868978805393"/>
                  <c:h val="0.11336640873035135"/>
                </c:manualLayout>
              </c15:layout>
              <c15:dlblFieldTable/>
              <c15:showDataLabelsRange val="0"/>
            </c:ext>
          </c:extLst>
        </c:dLbl>
      </c:pivotFmt>
      <c:pivotFmt>
        <c:idx val="15"/>
        <c:spPr>
          <a:solidFill>
            <a:srgbClr val="3C096C"/>
          </a:solidFill>
          <a:ln w="19050">
            <a:noFill/>
          </a:ln>
          <a:effectLst/>
        </c:spPr>
        <c:marker>
          <c:symbol val="none"/>
        </c:marker>
        <c:dLbl>
          <c:idx val="0"/>
          <c:spPr>
            <a:noFill/>
            <a:ln>
              <a:noFill/>
            </a:ln>
            <a:effectLst/>
          </c:spPr>
          <c:txPr>
            <a:bodyPr rot="192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3C096C"/>
          </a:solidFill>
          <a:ln w="19050">
            <a:noFill/>
          </a:ln>
          <a:effectLst/>
        </c:spPr>
        <c:dLbl>
          <c:idx val="0"/>
          <c:layout>
            <c:manualLayout>
              <c:x val="-4.5680658075213078E-2"/>
              <c:y val="-2.1392561806310384E-2"/>
            </c:manualLayout>
          </c:layout>
          <c:tx>
            <c:rich>
              <a:bodyPr rot="192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9FC352F3-230F-4EAD-AC74-B48166D0F2CE}" type="VALUE">
                  <a:rPr lang="en-US" sz="1000" b="0"/>
                  <a:pPr>
                    <a:defRPr>
                      <a:solidFill>
                        <a:schemeClr val="bg1"/>
                      </a:solidFill>
                    </a:defRPr>
                  </a:pPr>
                  <a:t>[VALUE]</a:t>
                </a:fld>
                <a:endParaRPr lang="en-US"/>
              </a:p>
            </c:rich>
          </c:tx>
          <c:spPr>
            <a:noFill/>
            <a:ln>
              <a:noFill/>
            </a:ln>
            <a:effectLst/>
          </c:spPr>
          <c:txPr>
            <a:bodyPr rot="192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558328193081688"/>
                  <c:h val="0.14116780700139464"/>
                </c:manualLayout>
              </c15:layout>
              <c15:dlblFieldTable/>
              <c15:showDataLabelsRange val="0"/>
            </c:ext>
          </c:extLst>
        </c:dLbl>
      </c:pivotFmt>
      <c:pivotFmt>
        <c:idx val="17"/>
        <c:spPr>
          <a:solidFill>
            <a:srgbClr val="9F4BBD"/>
          </a:solidFill>
          <a:ln w="19050">
            <a:noFill/>
          </a:ln>
          <a:effectLst/>
        </c:spPr>
        <c:dLbl>
          <c:idx val="0"/>
          <c:layout>
            <c:manualLayout>
              <c:x val="2.0586026426833916E-2"/>
              <c:y val="-1.2148158609506297E-2"/>
            </c:manualLayout>
          </c:layout>
          <c:tx>
            <c:rich>
              <a:bodyPr rot="-15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2B01D765-4945-4BCD-94F0-E22ACD09B2F3}" type="VALUE">
                  <a:rPr lang="en-US" sz="1000" b="0"/>
                  <a:pPr>
                    <a:defRPr>
                      <a:solidFill>
                        <a:schemeClr val="bg1"/>
                      </a:solidFill>
                    </a:defRPr>
                  </a:pPr>
                  <a:t>[VALUE]</a:t>
                </a:fld>
                <a:endParaRPr lang="en-US"/>
              </a:p>
            </c:rich>
          </c:tx>
          <c:spPr>
            <a:noFill/>
            <a:ln>
              <a:noFill/>
            </a:ln>
            <a:effectLst/>
          </c:spPr>
          <c:txPr>
            <a:bodyPr rot="-15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406364043873358"/>
                  <c:h val="0.16314646639143954"/>
                </c:manualLayout>
              </c15:layout>
              <c15:dlblFieldTable/>
              <c15:showDataLabelsRange val="0"/>
            </c:ext>
          </c:extLst>
        </c:dLbl>
      </c:pivotFmt>
      <c:pivotFmt>
        <c:idx val="18"/>
        <c:spPr>
          <a:solidFill>
            <a:srgbClr val="E0AAFF"/>
          </a:solidFill>
          <a:ln w="19050">
            <a:noFill/>
          </a:ln>
          <a:effectLst/>
        </c:spPr>
        <c:dLbl>
          <c:idx val="0"/>
          <c:layout>
            <c:manualLayout>
              <c:x val="1.2858666212675172E-2"/>
              <c:y val="-2.6606409244403183E-3"/>
            </c:manualLayout>
          </c:layout>
          <c:tx>
            <c:rich>
              <a:bodyPr rot="192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fld id="{44DD7505-13CF-43B0-B3F5-5AD809AB204B}" type="VALUE">
                  <a:rPr lang="en-US" sz="1000" b="0"/>
                  <a:pPr>
                    <a:defRPr>
                      <a:solidFill>
                        <a:schemeClr val="bg1"/>
                      </a:solidFill>
                    </a:defRPr>
                  </a:pPr>
                  <a:t>[VALUE]</a:t>
                </a:fld>
                <a:endParaRPr lang="en-US"/>
              </a:p>
            </c:rich>
          </c:tx>
          <c:spPr>
            <a:noFill/>
            <a:ln>
              <a:noFill/>
            </a:ln>
            <a:effectLst/>
          </c:spPr>
          <c:txPr>
            <a:bodyPr rot="192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7229857936164156"/>
                  <c:h val="0.10696079148393149"/>
                </c:manualLayout>
              </c15:layout>
              <c15:dlblFieldTable/>
              <c15:showDataLabelsRange val="0"/>
            </c:ext>
          </c:extLst>
        </c:dLbl>
      </c:pivotFmt>
      <c:pivotFmt>
        <c:idx val="19"/>
        <c:spPr>
          <a:solidFill>
            <a:schemeClr val="bg2">
              <a:lumMod val="50000"/>
            </a:schemeClr>
          </a:solidFill>
          <a:ln w="19050">
            <a:noFill/>
          </a:ln>
          <a:effectLst/>
        </c:spPr>
        <c:dLbl>
          <c:idx val="0"/>
          <c:layout>
            <c:manualLayout>
              <c:x val="-7.9879720208170992E-3"/>
              <c:y val="2.8825711626874743E-2"/>
            </c:manualLayout>
          </c:layout>
          <c:tx>
            <c:rich>
              <a:bodyPr rot="-12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3DB6121C-5004-4666-938E-F6ADEC9ADBEA}" type="VALUE">
                  <a:rPr lang="en-US" sz="1000" b="0"/>
                  <a:pPr>
                    <a:defRPr>
                      <a:solidFill>
                        <a:schemeClr val="bg1"/>
                      </a:solidFill>
                    </a:defRPr>
                  </a:pPr>
                  <a:t>[VALUE]</a:t>
                </a:fld>
                <a:endParaRPr lang="en-US"/>
              </a:p>
            </c:rich>
          </c:tx>
          <c:spPr>
            <a:noFill/>
            <a:ln>
              <a:noFill/>
            </a:ln>
            <a:effectLst/>
          </c:spPr>
          <c:txPr>
            <a:bodyPr rot="-12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344806822284551"/>
                  <c:h val="0.11662534897268997"/>
                </c:manualLayout>
              </c15:layout>
              <c15:dlblFieldTable/>
              <c15:showDataLabelsRange val="0"/>
            </c:ext>
          </c:extLst>
        </c:dLbl>
      </c:pivotFmt>
    </c:pivotFmts>
    <c:plotArea>
      <c:layout>
        <c:manualLayout>
          <c:layoutTarget val="inner"/>
          <c:xMode val="edge"/>
          <c:yMode val="edge"/>
          <c:x val="0.17314550999044195"/>
          <c:y val="0.21946344904314316"/>
          <c:w val="0.48362508154688755"/>
          <c:h val="0.65289391952063347"/>
        </c:manualLayout>
      </c:layout>
      <c:doughnutChart>
        <c:varyColors val="1"/>
        <c:ser>
          <c:idx val="0"/>
          <c:order val="0"/>
          <c:tx>
            <c:strRef>
              <c:f>'pivot table'!$N$31</c:f>
              <c:strCache>
                <c:ptCount val="1"/>
                <c:pt idx="0">
                  <c:v>Total</c:v>
                </c:pt>
              </c:strCache>
            </c:strRef>
          </c:tx>
          <c:spPr>
            <a:solidFill>
              <a:srgbClr val="3C096C"/>
            </a:solidFill>
            <a:ln>
              <a:noFill/>
            </a:ln>
          </c:spPr>
          <c:dPt>
            <c:idx val="0"/>
            <c:bubble3D val="0"/>
            <c:spPr>
              <a:solidFill>
                <a:srgbClr val="3C096C"/>
              </a:solidFill>
              <a:ln w="19050">
                <a:noFill/>
              </a:ln>
              <a:effectLst/>
            </c:spPr>
            <c:extLst>
              <c:ext xmlns:c16="http://schemas.microsoft.com/office/drawing/2014/chart" uri="{C3380CC4-5D6E-409C-BE32-E72D297353CC}">
                <c16:uniqueId val="{00000001-254D-4940-B641-C59DE52DCCAD}"/>
              </c:ext>
            </c:extLst>
          </c:dPt>
          <c:dPt>
            <c:idx val="1"/>
            <c:bubble3D val="0"/>
            <c:spPr>
              <a:solidFill>
                <a:srgbClr val="9F4BBD"/>
              </a:solidFill>
              <a:ln w="19050">
                <a:noFill/>
              </a:ln>
              <a:effectLst/>
            </c:spPr>
            <c:extLst>
              <c:ext xmlns:c16="http://schemas.microsoft.com/office/drawing/2014/chart" uri="{C3380CC4-5D6E-409C-BE32-E72D297353CC}">
                <c16:uniqueId val="{00000003-254D-4940-B641-C59DE52DCCAD}"/>
              </c:ext>
            </c:extLst>
          </c:dPt>
          <c:dPt>
            <c:idx val="2"/>
            <c:bubble3D val="0"/>
            <c:spPr>
              <a:solidFill>
                <a:srgbClr val="E0AAFF"/>
              </a:solidFill>
              <a:ln w="19050">
                <a:noFill/>
              </a:ln>
              <a:effectLst/>
            </c:spPr>
            <c:extLst>
              <c:ext xmlns:c16="http://schemas.microsoft.com/office/drawing/2014/chart" uri="{C3380CC4-5D6E-409C-BE32-E72D297353CC}">
                <c16:uniqueId val="{00000005-254D-4940-B641-C59DE52DCCAD}"/>
              </c:ext>
            </c:extLst>
          </c:dPt>
          <c:dPt>
            <c:idx val="3"/>
            <c:bubble3D val="0"/>
            <c:spPr>
              <a:solidFill>
                <a:schemeClr val="bg2">
                  <a:lumMod val="50000"/>
                </a:schemeClr>
              </a:solidFill>
              <a:ln w="19050">
                <a:noFill/>
              </a:ln>
              <a:effectLst/>
            </c:spPr>
            <c:extLst>
              <c:ext xmlns:c16="http://schemas.microsoft.com/office/drawing/2014/chart" uri="{C3380CC4-5D6E-409C-BE32-E72D297353CC}">
                <c16:uniqueId val="{00000007-254D-4940-B641-C59DE52DCCAD}"/>
              </c:ext>
            </c:extLst>
          </c:dPt>
          <c:dLbls>
            <c:dLbl>
              <c:idx val="0"/>
              <c:layout>
                <c:manualLayout>
                  <c:x val="-4.5680658075213078E-2"/>
                  <c:y val="-2.1392561806310384E-2"/>
                </c:manualLayout>
              </c:layout>
              <c:tx>
                <c:rich>
                  <a:bodyPr/>
                  <a:lstStyle/>
                  <a:p>
                    <a:fld id="{9FC352F3-230F-4EAD-AC74-B48166D0F2CE}" type="VALUE">
                      <a:rPr lang="en-US" sz="1000" b="0"/>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layout>
                    <c:manualLayout>
                      <c:w val="0.18558328193081688"/>
                      <c:h val="0.14116780700139464"/>
                    </c:manualLayout>
                  </c15:layout>
                  <c15:dlblFieldTable/>
                  <c15:showDataLabelsRange val="0"/>
                </c:ext>
                <c:ext xmlns:c16="http://schemas.microsoft.com/office/drawing/2014/chart" uri="{C3380CC4-5D6E-409C-BE32-E72D297353CC}">
                  <c16:uniqueId val="{00000001-254D-4940-B641-C59DE52DCCAD}"/>
                </c:ext>
              </c:extLst>
            </c:dLbl>
            <c:dLbl>
              <c:idx val="1"/>
              <c:layout>
                <c:manualLayout>
                  <c:x val="2.0586026426833916E-2"/>
                  <c:y val="-1.2148158609506297E-2"/>
                </c:manualLayout>
              </c:layout>
              <c:tx>
                <c:rich>
                  <a:bodyPr rot="-15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2B01D765-4945-4BCD-94F0-E22ACD09B2F3}" type="VALUE">
                      <a:rPr lang="en-US" sz="1000" b="0"/>
                      <a:pPr>
                        <a:defRPr>
                          <a:solidFill>
                            <a:schemeClr val="bg1"/>
                          </a:solidFill>
                        </a:defRPr>
                      </a:pPr>
                      <a:t>[VALUE]</a:t>
                    </a:fld>
                    <a:endParaRPr lang="en-US"/>
                  </a:p>
                </c:rich>
              </c:tx>
              <c:spPr>
                <a:noFill/>
                <a:ln>
                  <a:noFill/>
                </a:ln>
                <a:effectLst/>
              </c:spPr>
              <c:txPr>
                <a:bodyPr rot="-150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406364043873358"/>
                      <c:h val="0.16314646639143954"/>
                    </c:manualLayout>
                  </c15:layout>
                  <c15:dlblFieldTable/>
                  <c15:showDataLabelsRange val="0"/>
                </c:ext>
                <c:ext xmlns:c16="http://schemas.microsoft.com/office/drawing/2014/chart" uri="{C3380CC4-5D6E-409C-BE32-E72D297353CC}">
                  <c16:uniqueId val="{00000003-254D-4940-B641-C59DE52DCCAD}"/>
                </c:ext>
              </c:extLst>
            </c:dLbl>
            <c:dLbl>
              <c:idx val="2"/>
              <c:layout>
                <c:manualLayout>
                  <c:x val="1.2858666212675172E-2"/>
                  <c:y val="-2.6606409244403183E-3"/>
                </c:manualLayout>
              </c:layout>
              <c:tx>
                <c:rich>
                  <a:bodyPr rot="192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fld id="{44DD7505-13CF-43B0-B3F5-5AD809AB204B}" type="VALUE">
                      <a:rPr lang="en-US" sz="1000" b="0"/>
                      <a:pPr>
                        <a:defRPr>
                          <a:solidFill>
                            <a:schemeClr val="bg1"/>
                          </a:solidFill>
                        </a:defRPr>
                      </a:pPr>
                      <a:t>[VALUE]</a:t>
                    </a:fld>
                    <a:endParaRPr lang="en-US"/>
                  </a:p>
                </c:rich>
              </c:tx>
              <c:spPr>
                <a:noFill/>
                <a:ln>
                  <a:noFill/>
                </a:ln>
                <a:effectLst/>
              </c:spPr>
              <c:txPr>
                <a:bodyPr rot="1920000" spcFirstLastPara="1" vertOverflow="ellipsis" wrap="square" lIns="0" tIns="36000" rIns="72000" bIns="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7229857936164156"/>
                      <c:h val="0.10696079148393149"/>
                    </c:manualLayout>
                  </c15:layout>
                  <c15:dlblFieldTable/>
                  <c15:showDataLabelsRange val="0"/>
                </c:ext>
                <c:ext xmlns:c16="http://schemas.microsoft.com/office/drawing/2014/chart" uri="{C3380CC4-5D6E-409C-BE32-E72D297353CC}">
                  <c16:uniqueId val="{00000005-254D-4940-B641-C59DE52DCCAD}"/>
                </c:ext>
              </c:extLst>
            </c:dLbl>
            <c:dLbl>
              <c:idx val="3"/>
              <c:layout>
                <c:manualLayout>
                  <c:x val="-7.9879720208170992E-3"/>
                  <c:y val="2.8825711626874743E-2"/>
                </c:manualLayout>
              </c:layout>
              <c:tx>
                <c:rich>
                  <a:bodyPr rot="-12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fld id="{3DB6121C-5004-4666-938E-F6ADEC9ADBEA}" type="VALUE">
                      <a:rPr lang="en-US" sz="1000" b="0"/>
                      <a:pPr>
                        <a:defRPr>
                          <a:solidFill>
                            <a:schemeClr val="bg1"/>
                          </a:solidFill>
                        </a:defRPr>
                      </a:pPr>
                      <a:t>[VALUE]</a:t>
                    </a:fld>
                    <a:endParaRPr lang="en-US"/>
                  </a:p>
                </c:rich>
              </c:tx>
              <c:spPr>
                <a:noFill/>
                <a:ln>
                  <a:noFill/>
                </a:ln>
                <a:effectLst/>
              </c:spPr>
              <c:txPr>
                <a:bodyPr rot="-126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8344806822284551"/>
                      <c:h val="0.11662534897268997"/>
                    </c:manualLayout>
                  </c15:layout>
                  <c15:dlblFieldTable/>
                  <c15:showDataLabelsRange val="0"/>
                </c:ext>
                <c:ext xmlns:c16="http://schemas.microsoft.com/office/drawing/2014/chart" uri="{C3380CC4-5D6E-409C-BE32-E72D297353CC}">
                  <c16:uniqueId val="{00000007-254D-4940-B641-C59DE52DCCAD}"/>
                </c:ext>
              </c:extLst>
            </c:dLbl>
            <c:spPr>
              <a:noFill/>
              <a:ln>
                <a:noFill/>
              </a:ln>
              <a:effectLst/>
            </c:spPr>
            <c:txPr>
              <a:bodyPr rot="1920000" spcFirstLastPara="1" vertOverflow="ellipsis" horzOverflow="clip" vert="horz" wrap="square" lIns="0" tIns="36000" rIns="72000" bIns="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table'!$M$32:$M$35</c:f>
              <c:strCache>
                <c:ptCount val="4"/>
                <c:pt idx="0">
                  <c:v>excelent</c:v>
                </c:pt>
                <c:pt idx="1">
                  <c:v>good</c:v>
                </c:pt>
                <c:pt idx="2">
                  <c:v>very good</c:v>
                </c:pt>
                <c:pt idx="3">
                  <c:v>fair</c:v>
                </c:pt>
              </c:strCache>
            </c:strRef>
          </c:cat>
          <c:val>
            <c:numRef>
              <c:f>'pivot table'!$N$32:$N$35</c:f>
              <c:numCache>
                <c:formatCode>0.00</c:formatCode>
                <c:ptCount val="4"/>
                <c:pt idx="0">
                  <c:v>18.571428571428573</c:v>
                </c:pt>
                <c:pt idx="1">
                  <c:v>23.183333333333334</c:v>
                </c:pt>
                <c:pt idx="2">
                  <c:v>19.211111111111112</c:v>
                </c:pt>
                <c:pt idx="3">
                  <c:v>15.6</c:v>
                </c:pt>
              </c:numCache>
            </c:numRef>
          </c:val>
          <c:extLst>
            <c:ext xmlns:c16="http://schemas.microsoft.com/office/drawing/2014/chart" uri="{C3380CC4-5D6E-409C-BE32-E72D297353CC}">
              <c16:uniqueId val="{00000006-254D-4940-B641-C59DE52DCC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Salary for each department</cx:v>
        </cx:txData>
      </cx:tx>
      <cx:txPr>
        <a:bodyPr spcFirstLastPara="1" vertOverflow="ellipsis" horzOverflow="overflow" wrap="square" lIns="0" tIns="0" rIns="0" bIns="0" anchor="ctr" anchorCtr="1"/>
        <a:lstStyle/>
        <a:p>
          <a:pPr algn="ctr" rtl="0">
            <a:defRPr/>
          </a:pPr>
          <a:r>
            <a:rPr lang="en-US" sz="1400" b="1" i="0" u="none" strike="noStrike" baseline="0">
              <a:solidFill>
                <a:srgbClr val="3C096C"/>
              </a:solidFill>
              <a:latin typeface="Arial" panose="020B0604020202020204" pitchFamily="34" charset="0"/>
              <a:cs typeface="Arial" panose="020B0604020202020204" pitchFamily="34" charset="0"/>
            </a:rPr>
            <a:t>Salary for each department</a:t>
          </a:r>
        </a:p>
      </cx:txPr>
    </cx:title>
    <cx:plotArea>
      <cx:plotAreaRegion>
        <cx:series layoutId="treemap" uniqueId="{7CC5D29D-1D75-43EE-B9ED-A32A88B5486D}">
          <cx:tx>
            <cx:txData>
              <cx:f>_xlchart.v1.1</cx:f>
              <cx:v>Average of Salary</cx:v>
            </cx:txData>
          </cx:tx>
          <cx:dataPt idx="0">
            <cx:spPr>
              <a:solidFill>
                <a:srgbClr val="3C096C"/>
              </a:solidFill>
            </cx:spPr>
          </cx:dataPt>
          <cx:dataPt idx="1">
            <cx:spPr>
              <a:solidFill>
                <a:srgbClr val="F7EDF3"/>
              </a:solidFill>
            </cx:spPr>
          </cx:dataPt>
          <cx:dataPt idx="2">
            <cx:spPr>
              <a:solidFill>
                <a:srgbClr val="E0AAFF"/>
              </a:solidFill>
            </cx:spPr>
          </cx:dataPt>
          <cx:dataPt idx="3">
            <cx:spPr>
              <a:solidFill>
                <a:srgbClr val="EDEDE9"/>
              </a:solidFill>
              <a:ln>
                <a:solidFill>
                  <a:srgbClr val="EDEDE9"/>
                </a:solidFill>
              </a:ln>
            </cx:spPr>
          </cx:dataPt>
          <cx:dataPt idx="4">
            <cx:spPr>
              <a:solidFill>
                <a:srgbClr val="9F4BBD"/>
              </a:solidFill>
            </cx:spPr>
          </cx:dataPt>
          <cx:dataPt idx="5">
            <cx:spPr>
              <a:solidFill>
                <a:srgbClr val="000000"/>
              </a:solidFill>
            </cx:spPr>
          </cx:dataPt>
          <cx:dataLabels pos="inEnd">
            <cx:visibility seriesName="0" categoryName="1" value="1"/>
            <cx:separator>
</cx:separator>
            <cx:dataLabel idx="1">
              <cx:txPr>
                <a:bodyPr spcFirstLastPara="1" vertOverflow="ellipsis" horzOverflow="overflow" wrap="square" lIns="0" tIns="0" rIns="0" bIns="0" anchor="ctr" anchorCtr="1"/>
                <a:lstStyle/>
                <a:p>
                  <a:pPr algn="ctr" rtl="0">
                    <a:defRPr>
                      <a:solidFill>
                        <a:srgbClr val="3C096C"/>
                      </a:solidFill>
                    </a:defRPr>
                  </a:pPr>
                  <a:r>
                    <a:rPr lang="en-US" sz="900" b="0" i="0" u="none" strike="noStrike" baseline="0">
                      <a:solidFill>
                        <a:srgbClr val="3C096C"/>
                      </a:solidFill>
                      <a:latin typeface="Calibri" panose="020F0502020204030204"/>
                    </a:rPr>
                    <a:t>HR
8840.9</a:t>
                  </a:r>
                </a:p>
              </cx:txPr>
            </cx:dataLabel>
            <cx:dataLabel idx="3">
              <cx:txPr>
                <a:bodyPr spcFirstLastPara="1" vertOverflow="ellipsis" horzOverflow="overflow" wrap="square" lIns="0" tIns="0" rIns="0" bIns="0" anchor="ctr" anchorCtr="1"/>
                <a:lstStyle/>
                <a:p>
                  <a:pPr algn="ctr" rtl="0">
                    <a:defRPr>
                      <a:solidFill>
                        <a:srgbClr val="3C096C"/>
                      </a:solidFill>
                    </a:defRPr>
                  </a:pPr>
                  <a:r>
                    <a:rPr lang="en-US" sz="900" b="0" i="0" u="none" strike="noStrike" baseline="0">
                      <a:solidFill>
                        <a:srgbClr val="3C096C"/>
                      </a:solidFill>
                      <a:latin typeface="Calibri" panose="020F0502020204030204"/>
                    </a:rPr>
                    <a:t>Marketing
9669.4</a:t>
                  </a:r>
                </a:p>
              </cx:txPr>
            </cx:dataLabel>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ore details'!A1"/><Relationship Id="rId1" Type="http://schemas.openxmlformats.org/officeDocument/2006/relationships/hyperlink" Target="#Overview!A1"/></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hyperlink" Target="#'More details'!A1"/><Relationship Id="rId5" Type="http://schemas.openxmlformats.org/officeDocument/2006/relationships/hyperlink" Target="#Home!A1"/><Relationship Id="rId10"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hyperlink" Target="#Home!A1"/><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9.png"/><Relationship Id="rId11" Type="http://schemas.microsoft.com/office/2014/relationships/chartEx" Target="../charts/chartEx1.xml"/><Relationship Id="rId5" Type="http://schemas.openxmlformats.org/officeDocument/2006/relationships/hyperlink" Target="#Overview!A1"/><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13</xdr:col>
      <xdr:colOff>311150</xdr:colOff>
      <xdr:row>9</xdr:row>
      <xdr:rowOff>44450</xdr:rowOff>
    </xdr:from>
    <xdr:to>
      <xdr:col>17</xdr:col>
      <xdr:colOff>304800</xdr:colOff>
      <xdr:row>15</xdr:row>
      <xdr:rowOff>146050</xdr:rowOff>
    </xdr:to>
    <xdr:grpSp>
      <xdr:nvGrpSpPr>
        <xdr:cNvPr id="10" name="Group 9">
          <a:extLst>
            <a:ext uri="{FF2B5EF4-FFF2-40B4-BE49-F238E27FC236}">
              <a16:creationId xmlns:a16="http://schemas.microsoft.com/office/drawing/2014/main" id="{760B4C19-9744-0C70-77A2-9213500F1091}"/>
            </a:ext>
          </a:extLst>
        </xdr:cNvPr>
        <xdr:cNvGrpSpPr/>
      </xdr:nvGrpSpPr>
      <xdr:grpSpPr>
        <a:xfrm>
          <a:off x="8235950" y="1701800"/>
          <a:ext cx="2432050" cy="1206500"/>
          <a:chOff x="7683500" y="2159000"/>
          <a:chExt cx="2679700" cy="1219200"/>
        </a:xfrm>
      </xdr:grpSpPr>
      <xdr:sp macro="" textlink="">
        <xdr:nvSpPr>
          <xdr:cNvPr id="8" name="Rectangle: Rounded Corners 7">
            <a:extLst>
              <a:ext uri="{FF2B5EF4-FFF2-40B4-BE49-F238E27FC236}">
                <a16:creationId xmlns:a16="http://schemas.microsoft.com/office/drawing/2014/main" id="{9DE65C07-0A22-5AAE-33A1-C6141ECADF7A}"/>
              </a:ext>
            </a:extLst>
          </xdr:cNvPr>
          <xdr:cNvSpPr/>
        </xdr:nvSpPr>
        <xdr:spPr>
          <a:xfrm>
            <a:off x="7683500" y="2159000"/>
            <a:ext cx="2679700" cy="1219200"/>
          </a:xfrm>
          <a:prstGeom prst="roundRect">
            <a:avLst>
              <a:gd name="adj" fmla="val 48438"/>
            </a:avLst>
          </a:prstGeom>
          <a:solidFill>
            <a:srgbClr val="9F4B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hlinkClick xmlns:r="http://schemas.openxmlformats.org/officeDocument/2006/relationships" r:id="rId1"/>
            <a:extLst>
              <a:ext uri="{FF2B5EF4-FFF2-40B4-BE49-F238E27FC236}">
                <a16:creationId xmlns:a16="http://schemas.microsoft.com/office/drawing/2014/main" id="{0E268A74-B34F-92CB-2A2F-CCBF2B869C36}"/>
              </a:ext>
            </a:extLst>
          </xdr:cNvPr>
          <xdr:cNvSpPr txBox="1"/>
        </xdr:nvSpPr>
        <xdr:spPr>
          <a:xfrm>
            <a:off x="7764094" y="2520950"/>
            <a:ext cx="2461476"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001" sz="1800" b="1">
                <a:solidFill>
                  <a:schemeClr val="bg1"/>
                </a:solidFill>
                <a:latin typeface="Arial Black" panose="020B0A04020102020204" pitchFamily="34" charset="0"/>
              </a:rPr>
              <a:t>Overview</a:t>
            </a:r>
            <a:endParaRPr lang="en-US" sz="1800" b="1">
              <a:solidFill>
                <a:schemeClr val="bg1"/>
              </a:solidFill>
              <a:latin typeface="Arial Black" panose="020B0A04020102020204" pitchFamily="34" charset="0"/>
            </a:endParaRPr>
          </a:p>
        </xdr:txBody>
      </xdr:sp>
    </xdr:grpSp>
    <xdr:clientData/>
  </xdr:twoCellAnchor>
  <xdr:twoCellAnchor>
    <xdr:from>
      <xdr:col>13</xdr:col>
      <xdr:colOff>311150</xdr:colOff>
      <xdr:row>16</xdr:row>
      <xdr:rowOff>127000</xdr:rowOff>
    </xdr:from>
    <xdr:to>
      <xdr:col>17</xdr:col>
      <xdr:colOff>304800</xdr:colOff>
      <xdr:row>23</xdr:row>
      <xdr:rowOff>44450</xdr:rowOff>
    </xdr:to>
    <xdr:grpSp>
      <xdr:nvGrpSpPr>
        <xdr:cNvPr id="19" name="Group 18">
          <a:extLst>
            <a:ext uri="{FF2B5EF4-FFF2-40B4-BE49-F238E27FC236}">
              <a16:creationId xmlns:a16="http://schemas.microsoft.com/office/drawing/2014/main" id="{350232C4-1EA6-ABB6-5586-18039580059B}"/>
            </a:ext>
          </a:extLst>
        </xdr:cNvPr>
        <xdr:cNvGrpSpPr/>
      </xdr:nvGrpSpPr>
      <xdr:grpSpPr>
        <a:xfrm>
          <a:off x="8235950" y="3073400"/>
          <a:ext cx="2432050" cy="1206500"/>
          <a:chOff x="7683500" y="2159000"/>
          <a:chExt cx="2679700" cy="1219200"/>
        </a:xfrm>
      </xdr:grpSpPr>
      <xdr:sp macro="" textlink="">
        <xdr:nvSpPr>
          <xdr:cNvPr id="20" name="Rectangle: Rounded Corners 19">
            <a:extLst>
              <a:ext uri="{FF2B5EF4-FFF2-40B4-BE49-F238E27FC236}">
                <a16:creationId xmlns:a16="http://schemas.microsoft.com/office/drawing/2014/main" id="{001924F3-9E25-F8A0-097E-D5E61B1F9DA7}"/>
              </a:ext>
            </a:extLst>
          </xdr:cNvPr>
          <xdr:cNvSpPr/>
        </xdr:nvSpPr>
        <xdr:spPr>
          <a:xfrm>
            <a:off x="7683500" y="2159000"/>
            <a:ext cx="2679700" cy="1219200"/>
          </a:xfrm>
          <a:prstGeom prst="roundRect">
            <a:avLst>
              <a:gd name="adj" fmla="val 48438"/>
            </a:avLst>
          </a:prstGeom>
          <a:solidFill>
            <a:srgbClr val="9F4B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hlinkClick xmlns:r="http://schemas.openxmlformats.org/officeDocument/2006/relationships" r:id="rId2"/>
            <a:extLst>
              <a:ext uri="{FF2B5EF4-FFF2-40B4-BE49-F238E27FC236}">
                <a16:creationId xmlns:a16="http://schemas.microsoft.com/office/drawing/2014/main" id="{DFDFFE52-1E36-8B48-905F-B6FAC265C723}"/>
              </a:ext>
            </a:extLst>
          </xdr:cNvPr>
          <xdr:cNvSpPr txBox="1"/>
        </xdr:nvSpPr>
        <xdr:spPr>
          <a:xfrm>
            <a:off x="7764094" y="2520950"/>
            <a:ext cx="2461476"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latin typeface="Arial Black" panose="020B0A04020102020204" pitchFamily="34" charset="0"/>
              </a:rPr>
              <a:t>More details</a:t>
            </a:r>
          </a:p>
        </xdr:txBody>
      </xdr:sp>
    </xdr:grpSp>
    <xdr:clientData/>
  </xdr:twoCellAnchor>
  <xdr:twoCellAnchor editAs="oneCell">
    <xdr:from>
      <xdr:col>0</xdr:col>
      <xdr:colOff>0</xdr:colOff>
      <xdr:row>0</xdr:row>
      <xdr:rowOff>31750</xdr:rowOff>
    </xdr:from>
    <xdr:to>
      <xdr:col>12</xdr:col>
      <xdr:colOff>583407</xdr:colOff>
      <xdr:row>28</xdr:row>
      <xdr:rowOff>141288</xdr:rowOff>
    </xdr:to>
    <xdr:pic>
      <xdr:nvPicPr>
        <xdr:cNvPr id="27" name="Picture 26">
          <a:extLst>
            <a:ext uri="{FF2B5EF4-FFF2-40B4-BE49-F238E27FC236}">
              <a16:creationId xmlns:a16="http://schemas.microsoft.com/office/drawing/2014/main" id="{A0AF0310-1F5E-7EA8-7D6E-F572008313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31750"/>
          <a:ext cx="7898607" cy="52657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571500</xdr:colOff>
      <xdr:row>0</xdr:row>
      <xdr:rowOff>98778</xdr:rowOff>
    </xdr:from>
    <xdr:to>
      <xdr:col>20</xdr:col>
      <xdr:colOff>7054</xdr:colOff>
      <xdr:row>4</xdr:row>
      <xdr:rowOff>91722</xdr:rowOff>
    </xdr:to>
    <xdr:sp macro="" textlink="">
      <xdr:nvSpPr>
        <xdr:cNvPr id="2" name="Rectangle: Rounded Corners 1">
          <a:extLst>
            <a:ext uri="{FF2B5EF4-FFF2-40B4-BE49-F238E27FC236}">
              <a16:creationId xmlns:a16="http://schemas.microsoft.com/office/drawing/2014/main" id="{F97109E5-D429-4CF8-B3FC-D56713DEF54E}"/>
            </a:ext>
          </a:extLst>
        </xdr:cNvPr>
        <xdr:cNvSpPr/>
      </xdr:nvSpPr>
      <xdr:spPr>
        <a:xfrm>
          <a:off x="1178278" y="98778"/>
          <a:ext cx="10964332" cy="726722"/>
        </a:xfrm>
        <a:prstGeom prst="roundRect">
          <a:avLst>
            <a:gd name="adj" fmla="val 42881"/>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564443</xdr:colOff>
      <xdr:row>1</xdr:row>
      <xdr:rowOff>0</xdr:rowOff>
    </xdr:from>
    <xdr:to>
      <xdr:col>16</xdr:col>
      <xdr:colOff>388055</xdr:colOff>
      <xdr:row>4</xdr:row>
      <xdr:rowOff>148166</xdr:rowOff>
    </xdr:to>
    <xdr:sp macro="" textlink="">
      <xdr:nvSpPr>
        <xdr:cNvPr id="3" name="TextBox 2">
          <a:extLst>
            <a:ext uri="{FF2B5EF4-FFF2-40B4-BE49-F238E27FC236}">
              <a16:creationId xmlns:a16="http://schemas.microsoft.com/office/drawing/2014/main" id="{210D6872-239E-A425-9AEF-0097C4C03F86}"/>
            </a:ext>
          </a:extLst>
        </xdr:cNvPr>
        <xdr:cNvSpPr txBox="1"/>
      </xdr:nvSpPr>
      <xdr:spPr>
        <a:xfrm>
          <a:off x="2991554" y="183444"/>
          <a:ext cx="7104945"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001" sz="1600" b="1">
              <a:ln>
                <a:noFill/>
              </a:ln>
              <a:solidFill>
                <a:schemeClr val="bg1"/>
              </a:solidFill>
              <a:latin typeface="Arial Black" panose="020B0A04020102020204" pitchFamily="34" charset="0"/>
            </a:rPr>
            <a:t>HR analysis Dashboard</a:t>
          </a:r>
          <a:endParaRPr lang="en-US" sz="1600" b="1">
            <a:ln>
              <a:noFill/>
            </a:ln>
            <a:solidFill>
              <a:schemeClr val="bg1"/>
            </a:solidFill>
            <a:latin typeface="Arial Black" panose="020B0A04020102020204" pitchFamily="34" charset="0"/>
          </a:endParaRPr>
        </a:p>
        <a:p>
          <a:pPr algn="ctr"/>
          <a:r>
            <a:rPr lang="en-US" sz="1600">
              <a:solidFill>
                <a:schemeClr val="bg1"/>
              </a:solidFill>
            </a:rPr>
            <a:t>Employee Performance &amp; Workforce Insights</a:t>
          </a:r>
          <a:endParaRPr lang="en-001" sz="1600" b="1">
            <a:ln>
              <a:noFill/>
            </a:ln>
            <a:solidFill>
              <a:schemeClr val="bg1"/>
            </a:solidFill>
            <a:latin typeface="Arial Black" panose="020B0A04020102020204" pitchFamily="34" charset="0"/>
          </a:endParaRPr>
        </a:p>
        <a:p>
          <a:pPr algn="ctr"/>
          <a:endParaRPr lang="en-001" sz="2000" b="1">
            <a:ln>
              <a:noFill/>
            </a:ln>
            <a:solidFill>
              <a:schemeClr val="bg1"/>
            </a:solidFill>
            <a:latin typeface="Arial Black" panose="020B0A04020102020204" pitchFamily="34" charset="0"/>
          </a:endParaRPr>
        </a:p>
        <a:p>
          <a:endParaRPr lang="en-US" sz="1100">
            <a:ln>
              <a:noFill/>
            </a:ln>
          </a:endParaRPr>
        </a:p>
      </xdr:txBody>
    </xdr:sp>
    <xdr:clientData/>
  </xdr:twoCellAnchor>
  <xdr:twoCellAnchor>
    <xdr:from>
      <xdr:col>0</xdr:col>
      <xdr:colOff>204615</xdr:colOff>
      <xdr:row>5</xdr:row>
      <xdr:rowOff>35277</xdr:rowOff>
    </xdr:from>
    <xdr:to>
      <xdr:col>21</xdr:col>
      <xdr:colOff>90901</xdr:colOff>
      <xdr:row>30</xdr:row>
      <xdr:rowOff>126999</xdr:rowOff>
    </xdr:to>
    <xdr:grpSp>
      <xdr:nvGrpSpPr>
        <xdr:cNvPr id="30" name="Group 29">
          <a:extLst>
            <a:ext uri="{FF2B5EF4-FFF2-40B4-BE49-F238E27FC236}">
              <a16:creationId xmlns:a16="http://schemas.microsoft.com/office/drawing/2014/main" id="{AB0D2567-4993-2D87-AE3A-C01887636AE7}"/>
            </a:ext>
          </a:extLst>
        </xdr:cNvPr>
        <xdr:cNvGrpSpPr/>
      </xdr:nvGrpSpPr>
      <xdr:grpSpPr>
        <a:xfrm>
          <a:off x="204615" y="952499"/>
          <a:ext cx="12628619" cy="4677833"/>
          <a:chOff x="50812" y="1149875"/>
          <a:chExt cx="14112132" cy="4558724"/>
        </a:xfrm>
        <a:effectLst>
          <a:outerShdw blurRad="50800" dist="38100" dir="5400000" algn="t"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5B766A19-3B16-BB96-5662-9B8C0A50316B}"/>
              </a:ext>
            </a:extLst>
          </xdr:cNvPr>
          <xdr:cNvSpPr/>
        </xdr:nvSpPr>
        <xdr:spPr>
          <a:xfrm>
            <a:off x="50812" y="1163628"/>
            <a:ext cx="4706055" cy="2289676"/>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a:extLst>
              <a:ext uri="{FF2B5EF4-FFF2-40B4-BE49-F238E27FC236}">
                <a16:creationId xmlns:a16="http://schemas.microsoft.com/office/drawing/2014/main" id="{095ED175-604E-462E-04FE-4D9B87A2DA33}"/>
              </a:ext>
            </a:extLst>
          </xdr:cNvPr>
          <xdr:cNvGrpSpPr/>
        </xdr:nvGrpSpPr>
        <xdr:grpSpPr>
          <a:xfrm>
            <a:off x="487705" y="1234722"/>
            <a:ext cx="1620930" cy="451555"/>
            <a:chOff x="2362926" y="1396999"/>
            <a:chExt cx="1147118" cy="377123"/>
          </a:xfrm>
        </xdr:grpSpPr>
        <xdr:sp macro="" textlink="">
          <xdr:nvSpPr>
            <xdr:cNvPr id="10" name="Rectangle: Rounded Corners 9">
              <a:extLst>
                <a:ext uri="{FF2B5EF4-FFF2-40B4-BE49-F238E27FC236}">
                  <a16:creationId xmlns:a16="http://schemas.microsoft.com/office/drawing/2014/main" id="{0139C675-60C5-8C4A-F3AA-6AB7FD9AC525}"/>
                </a:ext>
              </a:extLst>
            </xdr:cNvPr>
            <xdr:cNvSpPr/>
          </xdr:nvSpPr>
          <xdr:spPr>
            <a:xfrm>
              <a:off x="2362926" y="1396999"/>
              <a:ext cx="1147118" cy="377123"/>
            </a:xfrm>
            <a:prstGeom prst="roundRect">
              <a:avLst>
                <a:gd name="adj" fmla="val 4414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E17DCE6F-4B37-1977-23E3-AE7C7FE9398E}"/>
                </a:ext>
              </a:extLst>
            </xdr:cNvPr>
            <xdr:cNvSpPr txBox="1"/>
          </xdr:nvSpPr>
          <xdr:spPr>
            <a:xfrm>
              <a:off x="2617434" y="1443459"/>
              <a:ext cx="684388" cy="31253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001" sz="1600" b="1">
                  <a:solidFill>
                    <a:srgbClr val="3C096C"/>
                  </a:solidFill>
                  <a:latin typeface="Arial Black" panose="020B0A04020102020204" pitchFamily="34" charset="0"/>
                </a:rPr>
                <a:t>KPIS</a:t>
              </a:r>
              <a:endParaRPr lang="en-US" sz="1600" b="1">
                <a:solidFill>
                  <a:srgbClr val="3C096C"/>
                </a:solidFill>
                <a:latin typeface="Arial Black" panose="020B0A04020102020204" pitchFamily="34" charset="0"/>
              </a:endParaRPr>
            </a:p>
          </xdr:txBody>
        </xdr:sp>
      </xdr:grpSp>
      <xdr:grpSp>
        <xdr:nvGrpSpPr>
          <xdr:cNvPr id="17" name="Group 16">
            <a:extLst>
              <a:ext uri="{FF2B5EF4-FFF2-40B4-BE49-F238E27FC236}">
                <a16:creationId xmlns:a16="http://schemas.microsoft.com/office/drawing/2014/main" id="{375C00FD-3BD7-D852-97F7-E67E1E28C1DA}"/>
              </a:ext>
            </a:extLst>
          </xdr:cNvPr>
          <xdr:cNvGrpSpPr/>
        </xdr:nvGrpSpPr>
        <xdr:grpSpPr>
          <a:xfrm>
            <a:off x="639567" y="1827029"/>
            <a:ext cx="1566334" cy="656167"/>
            <a:chOff x="639567" y="1827029"/>
            <a:chExt cx="1566334" cy="656167"/>
          </a:xfrm>
          <a:solidFill>
            <a:srgbClr val="3C096C"/>
          </a:solidFill>
        </xdr:grpSpPr>
        <xdr:sp macro="" textlink="">
          <xdr:nvSpPr>
            <xdr:cNvPr id="12" name="Rectangle: Rounded Corners 11">
              <a:extLst>
                <a:ext uri="{FF2B5EF4-FFF2-40B4-BE49-F238E27FC236}">
                  <a16:creationId xmlns:a16="http://schemas.microsoft.com/office/drawing/2014/main" id="{0B2BA7B6-34C0-247F-BC19-030AEC0AD9CB}"/>
                </a:ext>
              </a:extLst>
            </xdr:cNvPr>
            <xdr:cNvSpPr/>
          </xdr:nvSpPr>
          <xdr:spPr>
            <a:xfrm>
              <a:off x="639567" y="1827029"/>
              <a:ext cx="1566334" cy="656167"/>
            </a:xfrm>
            <a:prstGeom prst="roundRect">
              <a:avLst>
                <a:gd name="adj" fmla="val 4137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C8915B25-21E9-2B63-C63D-C25C988DC00D}"/>
                </a:ext>
              </a:extLst>
            </xdr:cNvPr>
            <xdr:cNvSpPr txBox="1"/>
          </xdr:nvSpPr>
          <xdr:spPr>
            <a:xfrm>
              <a:off x="723003" y="2166105"/>
              <a:ext cx="1456587" cy="19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chemeClr val="bg1"/>
                  </a:solidFill>
                  <a:effectLst/>
                  <a:latin typeface="Arial Black" panose="020B0A04020102020204" pitchFamily="34" charset="0"/>
                  <a:ea typeface="+mn-ea"/>
                  <a:cs typeface="+mn-cs"/>
                </a:rPr>
                <a:t>Avg performance</a:t>
              </a:r>
              <a:r>
                <a:rPr lang="en-US" sz="600" b="1">
                  <a:solidFill>
                    <a:schemeClr val="bg1"/>
                  </a:solidFill>
                  <a:effectLst/>
                  <a:latin typeface="Arial Black" panose="020B0A04020102020204" pitchFamily="34" charset="0"/>
                </a:rPr>
                <a:t> </a:t>
              </a:r>
              <a:endParaRPr lang="en-US" sz="600" b="1">
                <a:solidFill>
                  <a:schemeClr val="bg1"/>
                </a:solidFill>
                <a:latin typeface="Arial Black" panose="020B0A04020102020204" pitchFamily="34" charset="0"/>
              </a:endParaRPr>
            </a:p>
          </xdr:txBody>
        </xdr:sp>
        <xdr:sp macro="" textlink="'pivot table'!B6">
          <xdr:nvSpPr>
            <xdr:cNvPr id="5121" name="Text Box 1">
              <a:extLst>
                <a:ext uri="{FF2B5EF4-FFF2-40B4-BE49-F238E27FC236}">
                  <a16:creationId xmlns:a16="http://schemas.microsoft.com/office/drawing/2014/main" id="{1D4B2D3C-B77A-47C1-B373-6E61FBA34F8D}"/>
                </a:ext>
              </a:extLst>
            </xdr:cNvPr>
            <xdr:cNvSpPr txBox="1">
              <a:spLocks noChangeArrowheads="1"/>
            </xdr:cNvSpPr>
          </xdr:nvSpPr>
          <xdr:spPr bwMode="auto">
            <a:xfrm>
              <a:off x="1212323" y="1890841"/>
              <a:ext cx="360171" cy="235415"/>
            </a:xfrm>
            <a:prstGeom prst="rect">
              <a:avLst/>
            </a:prstGeom>
            <a:grpFill/>
            <a:ln w="9525">
              <a:noFill/>
              <a:miter lim="800000"/>
              <a:headEnd/>
              <a:tailEnd/>
            </a:ln>
          </xdr:spPr>
          <xdr:txBody>
            <a:bodyPr vertOverflow="clip" wrap="square" lIns="36576" tIns="32004" rIns="0" bIns="0" anchor="t" upright="1"/>
            <a:lstStyle/>
            <a:p>
              <a:pPr algn="l" rtl="0">
                <a:defRPr sz="1000"/>
              </a:pPr>
              <a:fld id="{43A76272-5BA1-44C8-944D-5C5D41D0B547}" type="TxLink">
                <a:rPr lang="en-US" sz="1200" b="1" i="0" u="none" strike="noStrike" baseline="0">
                  <a:solidFill>
                    <a:schemeClr val="bg1"/>
                  </a:solidFill>
                  <a:latin typeface="Calibri"/>
                  <a:ea typeface="Calibri"/>
                  <a:cs typeface="Calibri"/>
                </a:rPr>
                <a:pPr algn="l" rtl="0">
                  <a:defRPr sz="1000"/>
                </a:pPr>
                <a:t>3.77</a:t>
              </a:fld>
              <a:endParaRPr lang="en-US" sz="1400" b="1" i="0" u="none" strike="noStrike" baseline="0">
                <a:solidFill>
                  <a:schemeClr val="bg1"/>
                </a:solidFill>
                <a:latin typeface="Calibri"/>
                <a:ea typeface="Calibri"/>
                <a:cs typeface="Calibri"/>
              </a:endParaRPr>
            </a:p>
          </xdr:txBody>
        </xdr:sp>
      </xdr:grpSp>
      <xdr:grpSp>
        <xdr:nvGrpSpPr>
          <xdr:cNvPr id="18" name="Group 17">
            <a:extLst>
              <a:ext uri="{FF2B5EF4-FFF2-40B4-BE49-F238E27FC236}">
                <a16:creationId xmlns:a16="http://schemas.microsoft.com/office/drawing/2014/main" id="{E42F6536-D2F6-147D-53DF-F92035C045C0}"/>
              </a:ext>
            </a:extLst>
          </xdr:cNvPr>
          <xdr:cNvGrpSpPr/>
        </xdr:nvGrpSpPr>
        <xdr:grpSpPr>
          <a:xfrm>
            <a:off x="2352412" y="1854535"/>
            <a:ext cx="2287108" cy="642056"/>
            <a:chOff x="398023" y="1854535"/>
            <a:chExt cx="2287108" cy="642056"/>
          </a:xfrm>
          <a:solidFill>
            <a:srgbClr val="3C096C"/>
          </a:solidFill>
        </xdr:grpSpPr>
        <xdr:sp macro="" textlink="">
          <xdr:nvSpPr>
            <xdr:cNvPr id="19" name="Rectangle: Rounded Corners 18">
              <a:extLst>
                <a:ext uri="{FF2B5EF4-FFF2-40B4-BE49-F238E27FC236}">
                  <a16:creationId xmlns:a16="http://schemas.microsoft.com/office/drawing/2014/main" id="{EBD36853-2BA0-83A6-D462-2FE9A7FC0C33}"/>
                </a:ext>
              </a:extLst>
            </xdr:cNvPr>
            <xdr:cNvSpPr/>
          </xdr:nvSpPr>
          <xdr:spPr>
            <a:xfrm>
              <a:off x="398023" y="1854535"/>
              <a:ext cx="2097884" cy="642056"/>
            </a:xfrm>
            <a:prstGeom prst="roundRect">
              <a:avLst>
                <a:gd name="adj" fmla="val 41379"/>
              </a:avLst>
            </a:prstGeom>
            <a:solidFill>
              <a:srgbClr val="3C09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6335FC92-8985-4BCF-72D1-0D6D2F83C57E}"/>
                </a:ext>
              </a:extLst>
            </xdr:cNvPr>
            <xdr:cNvSpPr txBox="1"/>
          </xdr:nvSpPr>
          <xdr:spPr>
            <a:xfrm>
              <a:off x="488492" y="2187809"/>
              <a:ext cx="2196639" cy="206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effectLst/>
                  <a:latin typeface="Arial Black" panose="020B0A04020102020204" pitchFamily="34" charset="0"/>
                  <a:ea typeface="+mn-ea"/>
                  <a:cs typeface="+mn-cs"/>
                </a:rPr>
                <a:t>Average of TrainingCost</a:t>
              </a:r>
              <a:r>
                <a:rPr lang="en-US" sz="600">
                  <a:solidFill>
                    <a:schemeClr val="bg1"/>
                  </a:solidFill>
                  <a:effectLst/>
                  <a:latin typeface="Arial Black" panose="020B0A04020102020204" pitchFamily="34" charset="0"/>
                </a:rPr>
                <a:t> </a:t>
              </a:r>
              <a:endParaRPr lang="en-US" sz="600">
                <a:solidFill>
                  <a:schemeClr val="bg1"/>
                </a:solidFill>
                <a:latin typeface="Arial Black" panose="020B0A04020102020204" pitchFamily="34" charset="0"/>
              </a:endParaRPr>
            </a:p>
          </xdr:txBody>
        </xdr:sp>
        <xdr:sp macro="" textlink="'pivot table'!B10">
          <xdr:nvSpPr>
            <xdr:cNvPr id="21" name="Text Box 1">
              <a:extLst>
                <a:ext uri="{FF2B5EF4-FFF2-40B4-BE49-F238E27FC236}">
                  <a16:creationId xmlns:a16="http://schemas.microsoft.com/office/drawing/2014/main" id="{F76C7C4F-A86D-9DFA-7670-AD70B1F9DF72}"/>
                </a:ext>
              </a:extLst>
            </xdr:cNvPr>
            <xdr:cNvSpPr txBox="1">
              <a:spLocks noChangeArrowheads="1"/>
            </xdr:cNvSpPr>
          </xdr:nvSpPr>
          <xdr:spPr bwMode="auto">
            <a:xfrm>
              <a:off x="1055017" y="1933175"/>
              <a:ext cx="549954" cy="220585"/>
            </a:xfrm>
            <a:prstGeom prst="rect">
              <a:avLst/>
            </a:prstGeom>
            <a:grpFill/>
            <a:ln w="9525">
              <a:noFill/>
              <a:miter lim="800000"/>
              <a:headEnd/>
              <a:tailEnd/>
            </a:ln>
          </xdr:spPr>
          <xdr:txBody>
            <a:bodyPr vertOverflow="clip" wrap="square" lIns="36576" tIns="32004" rIns="0" bIns="0" anchor="t" upright="1"/>
            <a:lstStyle/>
            <a:p>
              <a:pPr algn="l" rtl="0">
                <a:defRPr sz="1000"/>
              </a:pPr>
              <a:fld id="{AD7F7FB8-48A8-4A9A-9C52-4A1FE82BD5CE}" type="TxLink">
                <a:rPr lang="en-US" sz="1100" b="1" i="0" u="none" strike="noStrike" baseline="0">
                  <a:solidFill>
                    <a:schemeClr val="bg1"/>
                  </a:solidFill>
                  <a:latin typeface="Calibri"/>
                  <a:ea typeface="Calibri"/>
                  <a:cs typeface="Calibri"/>
                </a:rPr>
                <a:pPr algn="l" rtl="0">
                  <a:defRPr sz="1000"/>
                </a:pPr>
                <a:t>1043.7</a:t>
              </a:fld>
              <a:endParaRPr lang="en-US" sz="1200" b="1" i="0" u="none" strike="noStrike" baseline="0">
                <a:solidFill>
                  <a:schemeClr val="bg1"/>
                </a:solidFill>
                <a:latin typeface="Calibri"/>
                <a:ea typeface="Calibri"/>
                <a:cs typeface="Calibri"/>
              </a:endParaRPr>
            </a:p>
          </xdr:txBody>
        </xdr:sp>
      </xdr:grpSp>
      <xdr:grpSp>
        <xdr:nvGrpSpPr>
          <xdr:cNvPr id="22" name="Group 21">
            <a:extLst>
              <a:ext uri="{FF2B5EF4-FFF2-40B4-BE49-F238E27FC236}">
                <a16:creationId xmlns:a16="http://schemas.microsoft.com/office/drawing/2014/main" id="{534B1D30-19AB-D14D-E054-7136F658B7EC}"/>
              </a:ext>
            </a:extLst>
          </xdr:cNvPr>
          <xdr:cNvGrpSpPr/>
        </xdr:nvGrpSpPr>
        <xdr:grpSpPr>
          <a:xfrm>
            <a:off x="2357382" y="2607568"/>
            <a:ext cx="2148102" cy="653212"/>
            <a:chOff x="402993" y="1535123"/>
            <a:chExt cx="2148102" cy="653212"/>
          </a:xfrm>
          <a:solidFill>
            <a:srgbClr val="3C096C"/>
          </a:solidFill>
        </xdr:grpSpPr>
        <xdr:sp macro="" textlink="">
          <xdr:nvSpPr>
            <xdr:cNvPr id="23" name="Rectangle: Rounded Corners 22">
              <a:extLst>
                <a:ext uri="{FF2B5EF4-FFF2-40B4-BE49-F238E27FC236}">
                  <a16:creationId xmlns:a16="http://schemas.microsoft.com/office/drawing/2014/main" id="{59191A93-514B-A6EB-1907-42082A77EC7C}"/>
                </a:ext>
              </a:extLst>
            </xdr:cNvPr>
            <xdr:cNvSpPr/>
          </xdr:nvSpPr>
          <xdr:spPr>
            <a:xfrm>
              <a:off x="402993" y="1535123"/>
              <a:ext cx="2148102" cy="653212"/>
            </a:xfrm>
            <a:prstGeom prst="roundRect">
              <a:avLst>
                <a:gd name="adj" fmla="val 4137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5EE27D1E-6BBE-23EC-B6D9-DC3C84F260B0}"/>
                </a:ext>
              </a:extLst>
            </xdr:cNvPr>
            <xdr:cNvSpPr txBox="1"/>
          </xdr:nvSpPr>
          <xdr:spPr>
            <a:xfrm>
              <a:off x="465666" y="1878919"/>
              <a:ext cx="1998705" cy="20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effectLst/>
                  <a:latin typeface="Arial Black" panose="020B0A04020102020204" pitchFamily="34" charset="0"/>
                  <a:ea typeface="+mn-ea"/>
                  <a:cs typeface="+mn-cs"/>
                </a:rPr>
                <a:t>Average of AbsenceDays</a:t>
              </a:r>
              <a:r>
                <a:rPr lang="en-US" sz="900" b="0">
                  <a:solidFill>
                    <a:schemeClr val="bg1"/>
                  </a:solidFill>
                  <a:effectLst/>
                  <a:latin typeface="Arial Black" panose="020B0A04020102020204" pitchFamily="34" charset="0"/>
                </a:rPr>
                <a:t> </a:t>
              </a:r>
              <a:endParaRPr lang="en-US" sz="900" b="0">
                <a:solidFill>
                  <a:schemeClr val="bg1"/>
                </a:solidFill>
                <a:latin typeface="Arial Black" panose="020B0A04020102020204" pitchFamily="34" charset="0"/>
              </a:endParaRPr>
            </a:p>
          </xdr:txBody>
        </xdr:sp>
        <xdr:sp macro="" textlink="'pivot table'!B9">
          <xdr:nvSpPr>
            <xdr:cNvPr id="25" name="Text Box 1">
              <a:extLst>
                <a:ext uri="{FF2B5EF4-FFF2-40B4-BE49-F238E27FC236}">
                  <a16:creationId xmlns:a16="http://schemas.microsoft.com/office/drawing/2014/main" id="{F312826D-D7C1-64CD-D5F8-7747663BD02E}"/>
                </a:ext>
              </a:extLst>
            </xdr:cNvPr>
            <xdr:cNvSpPr txBox="1">
              <a:spLocks noChangeArrowheads="1"/>
            </xdr:cNvSpPr>
          </xdr:nvSpPr>
          <xdr:spPr bwMode="auto">
            <a:xfrm>
              <a:off x="1244241" y="1602282"/>
              <a:ext cx="392265" cy="201001"/>
            </a:xfrm>
            <a:prstGeom prst="rect">
              <a:avLst/>
            </a:prstGeom>
            <a:grpFill/>
            <a:ln w="9525">
              <a:noFill/>
              <a:miter lim="800000"/>
              <a:headEnd/>
              <a:tailEnd/>
            </a:ln>
          </xdr:spPr>
          <xdr:txBody>
            <a:bodyPr vertOverflow="clip" wrap="square" lIns="36576" tIns="32004" rIns="0" bIns="0" anchor="t" upright="1"/>
            <a:lstStyle/>
            <a:p>
              <a:pPr algn="l" rtl="0">
                <a:defRPr sz="1000"/>
              </a:pPr>
              <a:fld id="{A62621F0-6073-4935-9431-331982FF4E0F}" type="TxLink">
                <a:rPr lang="en-US" sz="1100" b="1" i="0" u="none" strike="noStrike" baseline="0">
                  <a:solidFill>
                    <a:schemeClr val="bg1"/>
                  </a:solidFill>
                  <a:latin typeface="Calibri"/>
                  <a:ea typeface="Calibri"/>
                  <a:cs typeface="Calibri"/>
                </a:rPr>
                <a:pPr algn="l" rtl="0">
                  <a:defRPr sz="1000"/>
                </a:pPr>
                <a:t>10.8</a:t>
              </a:fld>
              <a:endParaRPr lang="en-US" sz="1100" b="1" i="0" u="none" strike="noStrike" baseline="0">
                <a:solidFill>
                  <a:schemeClr val="bg1"/>
                </a:solidFill>
                <a:latin typeface="Calibri"/>
                <a:ea typeface="Calibri"/>
                <a:cs typeface="Calibri"/>
              </a:endParaRPr>
            </a:p>
          </xdr:txBody>
        </xdr:sp>
      </xdr:grpSp>
      <xdr:grpSp>
        <xdr:nvGrpSpPr>
          <xdr:cNvPr id="26" name="Group 25">
            <a:extLst>
              <a:ext uri="{FF2B5EF4-FFF2-40B4-BE49-F238E27FC236}">
                <a16:creationId xmlns:a16="http://schemas.microsoft.com/office/drawing/2014/main" id="{C868F40B-A9A8-0555-BB6C-48A120B60A76}"/>
              </a:ext>
            </a:extLst>
          </xdr:cNvPr>
          <xdr:cNvGrpSpPr/>
        </xdr:nvGrpSpPr>
        <xdr:grpSpPr>
          <a:xfrm>
            <a:off x="642055" y="2610556"/>
            <a:ext cx="1566334" cy="656167"/>
            <a:chOff x="571500" y="1538111"/>
            <a:chExt cx="1566334" cy="656167"/>
          </a:xfrm>
          <a:solidFill>
            <a:srgbClr val="3C096C"/>
          </a:solidFill>
        </xdr:grpSpPr>
        <xdr:sp macro="" textlink="">
          <xdr:nvSpPr>
            <xdr:cNvPr id="27" name="Rectangle: Rounded Corners 26">
              <a:extLst>
                <a:ext uri="{FF2B5EF4-FFF2-40B4-BE49-F238E27FC236}">
                  <a16:creationId xmlns:a16="http://schemas.microsoft.com/office/drawing/2014/main" id="{929B5619-5EB2-9B04-5AEA-50AC77091C0A}"/>
                </a:ext>
              </a:extLst>
            </xdr:cNvPr>
            <xdr:cNvSpPr/>
          </xdr:nvSpPr>
          <xdr:spPr>
            <a:xfrm>
              <a:off x="571500" y="1538111"/>
              <a:ext cx="1566334" cy="656167"/>
            </a:xfrm>
            <a:prstGeom prst="roundRect">
              <a:avLst>
                <a:gd name="adj" fmla="val 4137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041EC0E5-67BE-D73F-E730-9C0774F80ED8}"/>
                </a:ext>
              </a:extLst>
            </xdr:cNvPr>
            <xdr:cNvSpPr txBox="1"/>
          </xdr:nvSpPr>
          <xdr:spPr>
            <a:xfrm>
              <a:off x="835042" y="1869412"/>
              <a:ext cx="1157111" cy="2046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Arial Black" panose="020B0A04020102020204" pitchFamily="34" charset="0"/>
                  <a:ea typeface="+mn-ea"/>
                  <a:cs typeface="+mn-cs"/>
                </a:rPr>
                <a:t>AVG salary</a:t>
              </a:r>
              <a:r>
                <a:rPr lang="en-US">
                  <a:solidFill>
                    <a:schemeClr val="bg1"/>
                  </a:solidFill>
                  <a:effectLst/>
                  <a:latin typeface="Arial Black" panose="020B0A04020102020204" pitchFamily="34" charset="0"/>
                </a:rPr>
                <a:t> </a:t>
              </a:r>
              <a:endParaRPr lang="en-US" sz="1100">
                <a:solidFill>
                  <a:schemeClr val="bg1"/>
                </a:solidFill>
                <a:latin typeface="Arial Black" panose="020B0A04020102020204" pitchFamily="34" charset="0"/>
              </a:endParaRPr>
            </a:p>
          </xdr:txBody>
        </xdr:sp>
        <xdr:sp macro="" textlink="'pivot table'!B5">
          <xdr:nvSpPr>
            <xdr:cNvPr id="29" name="Text Box 1">
              <a:extLst>
                <a:ext uri="{FF2B5EF4-FFF2-40B4-BE49-F238E27FC236}">
                  <a16:creationId xmlns:a16="http://schemas.microsoft.com/office/drawing/2014/main" id="{FC3368CF-0609-05A7-0E52-5860E2D8B361}"/>
                </a:ext>
              </a:extLst>
            </xdr:cNvPr>
            <xdr:cNvSpPr txBox="1">
              <a:spLocks noChangeArrowheads="1"/>
            </xdr:cNvSpPr>
          </xdr:nvSpPr>
          <xdr:spPr bwMode="auto">
            <a:xfrm>
              <a:off x="973241" y="1614953"/>
              <a:ext cx="987777" cy="246945"/>
            </a:xfrm>
            <a:prstGeom prst="rect">
              <a:avLst/>
            </a:prstGeom>
            <a:grpFill/>
            <a:ln w="9525">
              <a:noFill/>
              <a:miter lim="800000"/>
              <a:headEnd/>
              <a:tailEnd/>
            </a:ln>
          </xdr:spPr>
          <xdr:txBody>
            <a:bodyPr vertOverflow="clip" wrap="square" lIns="36576" tIns="32004" rIns="0" bIns="0" anchor="t" upright="1"/>
            <a:lstStyle/>
            <a:p>
              <a:pPr algn="l" rtl="0">
                <a:defRPr sz="1000"/>
              </a:pPr>
              <a:fld id="{8C518F07-F26B-4C56-8BE4-C5DB6C65159F}" type="TxLink">
                <a:rPr lang="en-US" sz="1100" b="1" i="0" u="none" strike="noStrike" baseline="0">
                  <a:solidFill>
                    <a:schemeClr val="bg1"/>
                  </a:solidFill>
                  <a:latin typeface="Calibri"/>
                  <a:ea typeface="Calibri"/>
                  <a:cs typeface="Calibri"/>
                </a:rPr>
                <a:pPr algn="l" rtl="0">
                  <a:defRPr sz="1000"/>
                </a:pPr>
                <a:t> $9,582.35 </a:t>
              </a:fld>
              <a:endParaRPr lang="en-US" sz="1100" b="1" i="0" u="none" strike="noStrike" baseline="0">
                <a:solidFill>
                  <a:schemeClr val="bg1"/>
                </a:solidFill>
                <a:latin typeface="Calibri"/>
                <a:ea typeface="Calibri"/>
                <a:cs typeface="Calibri"/>
              </a:endParaRPr>
            </a:p>
          </xdr:txBody>
        </xdr:sp>
      </xdr:grpSp>
      <xdr:sp macro="" textlink="">
        <xdr:nvSpPr>
          <xdr:cNvPr id="53" name="Rectangle: Rounded Corners 52">
            <a:extLst>
              <a:ext uri="{FF2B5EF4-FFF2-40B4-BE49-F238E27FC236}">
                <a16:creationId xmlns:a16="http://schemas.microsoft.com/office/drawing/2014/main" id="{BF2779EB-5F90-737D-9393-93F47807E13E}"/>
              </a:ext>
            </a:extLst>
          </xdr:cNvPr>
          <xdr:cNvSpPr/>
        </xdr:nvSpPr>
        <xdr:spPr>
          <a:xfrm>
            <a:off x="141447" y="3577069"/>
            <a:ext cx="4441121" cy="2117779"/>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Rounded Corners 54">
            <a:extLst>
              <a:ext uri="{FF2B5EF4-FFF2-40B4-BE49-F238E27FC236}">
                <a16:creationId xmlns:a16="http://schemas.microsoft.com/office/drawing/2014/main" id="{379EA5B2-57B0-0720-6D92-655A90A4407E}"/>
              </a:ext>
            </a:extLst>
          </xdr:cNvPr>
          <xdr:cNvSpPr/>
        </xdr:nvSpPr>
        <xdr:spPr>
          <a:xfrm>
            <a:off x="5265817" y="1149875"/>
            <a:ext cx="5689099" cy="4558724"/>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57" name="Rectangle: Rounded Corners 56">
            <a:extLst>
              <a:ext uri="{FF2B5EF4-FFF2-40B4-BE49-F238E27FC236}">
                <a16:creationId xmlns:a16="http://schemas.microsoft.com/office/drawing/2014/main" id="{87188873-E0A5-A750-030D-9060810A159E}"/>
              </a:ext>
            </a:extLst>
          </xdr:cNvPr>
          <xdr:cNvSpPr/>
        </xdr:nvSpPr>
        <xdr:spPr>
          <a:xfrm>
            <a:off x="11451634" y="1156749"/>
            <a:ext cx="2711310" cy="4455588"/>
          </a:xfrm>
          <a:prstGeom prst="roundRect">
            <a:avLst>
              <a:gd name="adj" fmla="val 15530"/>
            </a:avLst>
          </a:prstGeom>
          <a:solidFill>
            <a:srgbClr val="3C09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479777</xdr:colOff>
      <xdr:row>19</xdr:row>
      <xdr:rowOff>49389</xdr:rowOff>
    </xdr:from>
    <xdr:to>
      <xdr:col>7</xdr:col>
      <xdr:colOff>183445</xdr:colOff>
      <xdr:row>29</xdr:row>
      <xdr:rowOff>98778</xdr:rowOff>
    </xdr:to>
    <xdr:graphicFrame macro="">
      <xdr:nvGraphicFramePr>
        <xdr:cNvPr id="31" name="Chart 30">
          <a:extLst>
            <a:ext uri="{FF2B5EF4-FFF2-40B4-BE49-F238E27FC236}">
              <a16:creationId xmlns:a16="http://schemas.microsoft.com/office/drawing/2014/main" id="{4A1A833E-0AC0-4B44-A869-807EEC006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303390</xdr:colOff>
      <xdr:row>6</xdr:row>
      <xdr:rowOff>0</xdr:rowOff>
    </xdr:from>
    <xdr:to>
      <xdr:col>15</xdr:col>
      <xdr:colOff>571501</xdr:colOff>
      <xdr:row>29</xdr:row>
      <xdr:rowOff>70555</xdr:rowOff>
    </xdr:to>
    <xdr:graphicFrame macro="">
      <xdr:nvGraphicFramePr>
        <xdr:cNvPr id="54" name="Chart 53">
          <a:extLst>
            <a:ext uri="{FF2B5EF4-FFF2-40B4-BE49-F238E27FC236}">
              <a16:creationId xmlns:a16="http://schemas.microsoft.com/office/drawing/2014/main" id="{EDEEF948-ED36-4585-B024-2470DD5E4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246949</xdr:colOff>
      <xdr:row>5</xdr:row>
      <xdr:rowOff>112890</xdr:rowOff>
    </xdr:from>
    <xdr:to>
      <xdr:col>19</xdr:col>
      <xdr:colOff>264595</xdr:colOff>
      <xdr:row>7</xdr:row>
      <xdr:rowOff>63501</xdr:rowOff>
    </xdr:to>
    <xdr:sp macro="" textlink="">
      <xdr:nvSpPr>
        <xdr:cNvPr id="60" name="Rectangle: Rounded Corners 59">
          <a:extLst>
            <a:ext uri="{FF2B5EF4-FFF2-40B4-BE49-F238E27FC236}">
              <a16:creationId xmlns:a16="http://schemas.microsoft.com/office/drawing/2014/main" id="{B310BCE6-D56F-40C5-A3CA-ACEDCD61D9EC}"/>
            </a:ext>
          </a:extLst>
        </xdr:cNvPr>
        <xdr:cNvSpPr/>
      </xdr:nvSpPr>
      <xdr:spPr>
        <a:xfrm>
          <a:off x="10562171" y="1030112"/>
          <a:ext cx="1231202" cy="317500"/>
        </a:xfrm>
        <a:prstGeom prst="roundRect">
          <a:avLst>
            <a:gd name="adj" fmla="val 4414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286551</xdr:colOff>
      <xdr:row>5</xdr:row>
      <xdr:rowOff>78249</xdr:rowOff>
    </xdr:from>
    <xdr:to>
      <xdr:col>19</xdr:col>
      <xdr:colOff>98777</xdr:colOff>
      <xdr:row>6</xdr:row>
      <xdr:rowOff>169334</xdr:rowOff>
    </xdr:to>
    <xdr:sp macro="" textlink="">
      <xdr:nvSpPr>
        <xdr:cNvPr id="61" name="TextBox 60">
          <a:extLst>
            <a:ext uri="{FF2B5EF4-FFF2-40B4-BE49-F238E27FC236}">
              <a16:creationId xmlns:a16="http://schemas.microsoft.com/office/drawing/2014/main" id="{EDFC0BFE-1048-424C-9276-AAE715B45366}"/>
            </a:ext>
          </a:extLst>
        </xdr:cNvPr>
        <xdr:cNvSpPr txBox="1"/>
      </xdr:nvSpPr>
      <xdr:spPr>
        <a:xfrm>
          <a:off x="10601773" y="995471"/>
          <a:ext cx="1025782" cy="27453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600" b="1">
              <a:solidFill>
                <a:srgbClr val="3C096C"/>
              </a:solidFill>
              <a:latin typeface="Arial Black" panose="020B0A04020102020204" pitchFamily="34" charset="0"/>
            </a:rPr>
            <a:t>Slicers</a:t>
          </a:r>
        </a:p>
      </xdr:txBody>
    </xdr:sp>
    <xdr:clientData/>
  </xdr:twoCellAnchor>
  <xdr:twoCellAnchor editAs="oneCell">
    <xdr:from>
      <xdr:col>17</xdr:col>
      <xdr:colOff>222250</xdr:colOff>
      <xdr:row>21</xdr:row>
      <xdr:rowOff>70557</xdr:rowOff>
    </xdr:from>
    <xdr:to>
      <xdr:col>20</xdr:col>
      <xdr:colOff>462138</xdr:colOff>
      <xdr:row>28</xdr:row>
      <xdr:rowOff>112890</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48D60AC1-8A13-452C-92A2-9FD505E126E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537472" y="3922890"/>
              <a:ext cx="2060222" cy="1326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204611</xdr:colOff>
      <xdr:row>14</xdr:row>
      <xdr:rowOff>89957</xdr:rowOff>
    </xdr:from>
    <xdr:to>
      <xdr:col>21</xdr:col>
      <xdr:colOff>0</xdr:colOff>
      <xdr:row>20</xdr:row>
      <xdr:rowOff>44098</xdr:rowOff>
    </xdr:to>
    <mc:AlternateContent xmlns:mc="http://schemas.openxmlformats.org/markup-compatibility/2006" xmlns:a14="http://schemas.microsoft.com/office/drawing/2010/main">
      <mc:Choice Requires="a14">
        <xdr:graphicFrame macro="">
          <xdr:nvGraphicFramePr>
            <xdr:cNvPr id="5" name="JobRole 1">
              <a:extLst>
                <a:ext uri="{FF2B5EF4-FFF2-40B4-BE49-F238E27FC236}">
                  <a16:creationId xmlns:a16="http://schemas.microsoft.com/office/drawing/2014/main" id="{7E1202EB-48F3-4DC4-BD4E-4647729B5D7C}"/>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519833" y="2658179"/>
              <a:ext cx="2222500" cy="1054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197556</xdr:colOff>
      <xdr:row>7</xdr:row>
      <xdr:rowOff>155221</xdr:rowOff>
    </xdr:from>
    <xdr:to>
      <xdr:col>20</xdr:col>
      <xdr:colOff>515055</xdr:colOff>
      <xdr:row>14</xdr:row>
      <xdr:rowOff>148166</xdr:rowOff>
    </xdr:to>
    <mc:AlternateContent xmlns:mc="http://schemas.openxmlformats.org/markup-compatibility/2006" xmlns:a14="http://schemas.microsoft.com/office/drawing/2010/main">
      <mc:Choice Requires="a14">
        <xdr:graphicFrame macro="">
          <xdr:nvGraphicFramePr>
            <xdr:cNvPr id="7" name="Performance 1">
              <a:extLst>
                <a:ext uri="{FF2B5EF4-FFF2-40B4-BE49-F238E27FC236}">
                  <a16:creationId xmlns:a16="http://schemas.microsoft.com/office/drawing/2014/main" id="{7675F6C0-143D-4213-92B0-A3DDCE8BFC2A}"/>
                </a:ext>
              </a:extLst>
            </xdr:cNvPr>
            <xdr:cNvGraphicFramePr/>
          </xdr:nvGraphicFramePr>
          <xdr:xfrm>
            <a:off x="0" y="0"/>
            <a:ext cx="0" cy="0"/>
          </xdr:xfrm>
          <a:graphic>
            <a:graphicData uri="http://schemas.microsoft.com/office/drawing/2010/slicer">
              <sle:slicer xmlns:sle="http://schemas.microsoft.com/office/drawing/2010/slicer" name="Performance 1"/>
            </a:graphicData>
          </a:graphic>
        </xdr:graphicFrame>
      </mc:Choice>
      <mc:Fallback xmlns="">
        <xdr:sp macro="" textlink="">
          <xdr:nvSpPr>
            <xdr:cNvPr id="0" name=""/>
            <xdr:cNvSpPr>
              <a:spLocks noTextEdit="1"/>
            </xdr:cNvSpPr>
          </xdr:nvSpPr>
          <xdr:spPr>
            <a:xfrm>
              <a:off x="10512778" y="1439332"/>
              <a:ext cx="2137833" cy="1277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423332</xdr:colOff>
      <xdr:row>1</xdr:row>
      <xdr:rowOff>1</xdr:rowOff>
    </xdr:from>
    <xdr:to>
      <xdr:col>7</xdr:col>
      <xdr:colOff>451476</xdr:colOff>
      <xdr:row>4</xdr:row>
      <xdr:rowOff>84588</xdr:rowOff>
    </xdr:to>
    <xdr:pic>
      <xdr:nvPicPr>
        <xdr:cNvPr id="13" name="Picture 12">
          <a:extLst>
            <a:ext uri="{FF2B5EF4-FFF2-40B4-BE49-F238E27FC236}">
              <a16:creationId xmlns:a16="http://schemas.microsoft.com/office/drawing/2014/main" id="{F4A4324A-1872-67B0-98ED-8C289437F3B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63999" y="183445"/>
          <a:ext cx="634921" cy="634921"/>
        </a:xfrm>
        <a:prstGeom prst="rect">
          <a:avLst/>
        </a:prstGeom>
      </xdr:spPr>
    </xdr:pic>
    <xdr:clientData/>
  </xdr:twoCellAnchor>
  <xdr:twoCellAnchor editAs="oneCell">
    <xdr:from>
      <xdr:col>1</xdr:col>
      <xdr:colOff>112894</xdr:colOff>
      <xdr:row>5</xdr:row>
      <xdr:rowOff>155222</xdr:rowOff>
    </xdr:from>
    <xdr:to>
      <xdr:col>1</xdr:col>
      <xdr:colOff>451561</xdr:colOff>
      <xdr:row>7</xdr:row>
      <xdr:rowOff>127000</xdr:rowOff>
    </xdr:to>
    <xdr:pic>
      <xdr:nvPicPr>
        <xdr:cNvPr id="14" name="Picture 13">
          <a:extLst>
            <a:ext uri="{FF2B5EF4-FFF2-40B4-BE49-F238E27FC236}">
              <a16:creationId xmlns:a16="http://schemas.microsoft.com/office/drawing/2014/main" id="{ED05AC79-88E9-F2AB-2742-3C07FA8DF6BF}"/>
            </a:ext>
          </a:extLst>
        </xdr:cNvPr>
        <xdr:cNvPicPr>
          <a:picLocks noChangeAspect="1"/>
        </xdr:cNvPicPr>
      </xdr:nvPicPr>
      <xdr:blipFill>
        <a:blip xmlns:r="http://schemas.openxmlformats.org/officeDocument/2006/relationships" r:embed="rId4"/>
        <a:stretch>
          <a:fillRect/>
        </a:stretch>
      </xdr:blipFill>
      <xdr:spPr>
        <a:xfrm>
          <a:off x="719672" y="1072444"/>
          <a:ext cx="338667" cy="338667"/>
        </a:xfrm>
        <a:prstGeom prst="rect">
          <a:avLst/>
        </a:prstGeom>
      </xdr:spPr>
    </xdr:pic>
    <xdr:clientData/>
  </xdr:twoCellAnchor>
  <xdr:twoCellAnchor editAs="oneCell">
    <xdr:from>
      <xdr:col>0</xdr:col>
      <xdr:colOff>381000</xdr:colOff>
      <xdr:row>0</xdr:row>
      <xdr:rowOff>28223</xdr:rowOff>
    </xdr:from>
    <xdr:to>
      <xdr:col>1</xdr:col>
      <xdr:colOff>586920</xdr:colOff>
      <xdr:row>4</xdr:row>
      <xdr:rowOff>107143</xdr:rowOff>
    </xdr:to>
    <xdr:pic>
      <xdr:nvPicPr>
        <xdr:cNvPr id="35" name="Picture 34">
          <a:hlinkClick xmlns:r="http://schemas.openxmlformats.org/officeDocument/2006/relationships" r:id="rId5"/>
          <a:extLst>
            <a:ext uri="{FF2B5EF4-FFF2-40B4-BE49-F238E27FC236}">
              <a16:creationId xmlns:a16="http://schemas.microsoft.com/office/drawing/2014/main" id="{E279D9FE-3C79-C3D9-6EC5-C5CBCF95A43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1000" y="28223"/>
          <a:ext cx="812698" cy="812698"/>
        </a:xfrm>
        <a:prstGeom prst="rect">
          <a:avLst/>
        </a:prstGeom>
      </xdr:spPr>
    </xdr:pic>
    <xdr:clientData/>
  </xdr:twoCellAnchor>
  <xdr:twoCellAnchor editAs="oneCell">
    <xdr:from>
      <xdr:col>4</xdr:col>
      <xdr:colOff>70557</xdr:colOff>
      <xdr:row>13</xdr:row>
      <xdr:rowOff>77613</xdr:rowOff>
    </xdr:from>
    <xdr:to>
      <xdr:col>4</xdr:col>
      <xdr:colOff>402168</xdr:colOff>
      <xdr:row>15</xdr:row>
      <xdr:rowOff>42335</xdr:rowOff>
    </xdr:to>
    <xdr:pic>
      <xdr:nvPicPr>
        <xdr:cNvPr id="33" name="Picture 32">
          <a:extLst>
            <a:ext uri="{FF2B5EF4-FFF2-40B4-BE49-F238E27FC236}">
              <a16:creationId xmlns:a16="http://schemas.microsoft.com/office/drawing/2014/main" id="{E7A66B91-DF6C-D4CC-0EEB-2F9B8A2BAED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97668" y="2462391"/>
          <a:ext cx="331611" cy="331611"/>
        </a:xfrm>
        <a:prstGeom prst="rect">
          <a:avLst/>
        </a:prstGeom>
      </xdr:spPr>
    </xdr:pic>
    <xdr:clientData/>
  </xdr:twoCellAnchor>
  <xdr:twoCellAnchor editAs="oneCell">
    <xdr:from>
      <xdr:col>1</xdr:col>
      <xdr:colOff>112888</xdr:colOff>
      <xdr:row>13</xdr:row>
      <xdr:rowOff>148166</xdr:rowOff>
    </xdr:from>
    <xdr:to>
      <xdr:col>1</xdr:col>
      <xdr:colOff>507999</xdr:colOff>
      <xdr:row>15</xdr:row>
      <xdr:rowOff>176388</xdr:rowOff>
    </xdr:to>
    <xdr:pic>
      <xdr:nvPicPr>
        <xdr:cNvPr id="37" name="Picture 36">
          <a:extLst>
            <a:ext uri="{FF2B5EF4-FFF2-40B4-BE49-F238E27FC236}">
              <a16:creationId xmlns:a16="http://schemas.microsoft.com/office/drawing/2014/main" id="{067481AE-2FE7-1F28-E575-756022C25F4B}"/>
            </a:ext>
          </a:extLst>
        </xdr:cNvPr>
        <xdr:cNvPicPr>
          <a:picLocks noChangeAspect="1"/>
        </xdr:cNvPicPr>
      </xdr:nvPicPr>
      <xdr:blipFill>
        <a:blip xmlns:r="http://schemas.openxmlformats.org/officeDocument/2006/relationships" r:embed="rId8"/>
        <a:stretch>
          <a:fillRect/>
        </a:stretch>
      </xdr:blipFill>
      <xdr:spPr>
        <a:xfrm>
          <a:off x="719666" y="2532944"/>
          <a:ext cx="395111" cy="395111"/>
        </a:xfrm>
        <a:prstGeom prst="rect">
          <a:avLst/>
        </a:prstGeom>
      </xdr:spPr>
    </xdr:pic>
    <xdr:clientData/>
  </xdr:twoCellAnchor>
  <xdr:twoCellAnchor editAs="oneCell">
    <xdr:from>
      <xdr:col>1</xdr:col>
      <xdr:colOff>232839</xdr:colOff>
      <xdr:row>9</xdr:row>
      <xdr:rowOff>70555</xdr:rowOff>
    </xdr:from>
    <xdr:to>
      <xdr:col>1</xdr:col>
      <xdr:colOff>557395</xdr:colOff>
      <xdr:row>11</xdr:row>
      <xdr:rowOff>28222</xdr:rowOff>
    </xdr:to>
    <xdr:pic>
      <xdr:nvPicPr>
        <xdr:cNvPr id="47" name="Picture 46">
          <a:extLst>
            <a:ext uri="{FF2B5EF4-FFF2-40B4-BE49-F238E27FC236}">
              <a16:creationId xmlns:a16="http://schemas.microsoft.com/office/drawing/2014/main" id="{7A1C50A8-6F05-35F0-7D9A-8794DA0D6CD7}"/>
            </a:ext>
          </a:extLst>
        </xdr:cNvPr>
        <xdr:cNvPicPr>
          <a:picLocks noChangeAspect="1"/>
        </xdr:cNvPicPr>
      </xdr:nvPicPr>
      <xdr:blipFill>
        <a:blip xmlns:r="http://schemas.openxmlformats.org/officeDocument/2006/relationships" r:embed="rId9"/>
        <a:stretch>
          <a:fillRect/>
        </a:stretch>
      </xdr:blipFill>
      <xdr:spPr>
        <a:xfrm>
          <a:off x="839617" y="1721555"/>
          <a:ext cx="324556" cy="324556"/>
        </a:xfrm>
        <a:prstGeom prst="rect">
          <a:avLst/>
        </a:prstGeom>
      </xdr:spPr>
    </xdr:pic>
    <xdr:clientData/>
  </xdr:twoCellAnchor>
  <xdr:twoCellAnchor editAs="oneCell">
    <xdr:from>
      <xdr:col>3</xdr:col>
      <xdr:colOff>585616</xdr:colOff>
      <xdr:row>9</xdr:row>
      <xdr:rowOff>28221</xdr:rowOff>
    </xdr:from>
    <xdr:to>
      <xdr:col>4</xdr:col>
      <xdr:colOff>395117</xdr:colOff>
      <xdr:row>11</xdr:row>
      <xdr:rowOff>77611</xdr:rowOff>
    </xdr:to>
    <xdr:pic>
      <xdr:nvPicPr>
        <xdr:cNvPr id="51" name="Picture 50">
          <a:extLst>
            <a:ext uri="{FF2B5EF4-FFF2-40B4-BE49-F238E27FC236}">
              <a16:creationId xmlns:a16="http://schemas.microsoft.com/office/drawing/2014/main" id="{E203733F-E936-28C6-DE17-5FA274FB112F}"/>
            </a:ext>
          </a:extLst>
        </xdr:cNvPr>
        <xdr:cNvPicPr>
          <a:picLocks noChangeAspect="1"/>
        </xdr:cNvPicPr>
      </xdr:nvPicPr>
      <xdr:blipFill>
        <a:blip xmlns:r="http://schemas.openxmlformats.org/officeDocument/2006/relationships" r:embed="rId10"/>
        <a:stretch>
          <a:fillRect/>
        </a:stretch>
      </xdr:blipFill>
      <xdr:spPr>
        <a:xfrm>
          <a:off x="2405949" y="1679221"/>
          <a:ext cx="416279" cy="416279"/>
        </a:xfrm>
        <a:prstGeom prst="rect">
          <a:avLst/>
        </a:prstGeom>
      </xdr:spPr>
    </xdr:pic>
    <xdr:clientData/>
  </xdr:twoCellAnchor>
  <xdr:twoCellAnchor editAs="oneCell">
    <xdr:from>
      <xdr:col>20</xdr:col>
      <xdr:colOff>77610</xdr:colOff>
      <xdr:row>1</xdr:row>
      <xdr:rowOff>35279</xdr:rowOff>
    </xdr:from>
    <xdr:to>
      <xdr:col>21</xdr:col>
      <xdr:colOff>80357</xdr:colOff>
      <xdr:row>4</xdr:row>
      <xdr:rowOff>94469</xdr:rowOff>
    </xdr:to>
    <xdr:pic>
      <xdr:nvPicPr>
        <xdr:cNvPr id="56" name="Picture 55">
          <a:hlinkClick xmlns:r="http://schemas.openxmlformats.org/officeDocument/2006/relationships" r:id="rId11"/>
          <a:extLst>
            <a:ext uri="{FF2B5EF4-FFF2-40B4-BE49-F238E27FC236}">
              <a16:creationId xmlns:a16="http://schemas.microsoft.com/office/drawing/2014/main" id="{D49CE5E8-CCF3-4E66-83FE-A016442936B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213166" y="218723"/>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571500</xdr:colOff>
      <xdr:row>0</xdr:row>
      <xdr:rowOff>98778</xdr:rowOff>
    </xdr:from>
    <xdr:to>
      <xdr:col>20</xdr:col>
      <xdr:colOff>7054</xdr:colOff>
      <xdr:row>4</xdr:row>
      <xdr:rowOff>91722</xdr:rowOff>
    </xdr:to>
    <xdr:sp macro="" textlink="">
      <xdr:nvSpPr>
        <xdr:cNvPr id="2" name="Rectangle: Rounded Corners 1">
          <a:extLst>
            <a:ext uri="{FF2B5EF4-FFF2-40B4-BE49-F238E27FC236}">
              <a16:creationId xmlns:a16="http://schemas.microsoft.com/office/drawing/2014/main" id="{6853A3DD-F7E6-420E-BA21-79723F9A8C1E}"/>
            </a:ext>
          </a:extLst>
        </xdr:cNvPr>
        <xdr:cNvSpPr/>
      </xdr:nvSpPr>
      <xdr:spPr>
        <a:xfrm>
          <a:off x="1181100" y="98778"/>
          <a:ext cx="11017954" cy="729544"/>
        </a:xfrm>
        <a:prstGeom prst="roundRect">
          <a:avLst>
            <a:gd name="adj" fmla="val 42881"/>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465666</xdr:colOff>
      <xdr:row>1</xdr:row>
      <xdr:rowOff>70556</xdr:rowOff>
    </xdr:from>
    <xdr:to>
      <xdr:col>16</xdr:col>
      <xdr:colOff>289278</xdr:colOff>
      <xdr:row>4</xdr:row>
      <xdr:rowOff>148166</xdr:rowOff>
    </xdr:to>
    <xdr:sp macro="" textlink="">
      <xdr:nvSpPr>
        <xdr:cNvPr id="3" name="TextBox 2">
          <a:extLst>
            <a:ext uri="{FF2B5EF4-FFF2-40B4-BE49-F238E27FC236}">
              <a16:creationId xmlns:a16="http://schemas.microsoft.com/office/drawing/2014/main" id="{09A2F981-3597-419D-B80F-F31EFFAF47E1}"/>
            </a:ext>
          </a:extLst>
        </xdr:cNvPr>
        <xdr:cNvSpPr txBox="1"/>
      </xdr:nvSpPr>
      <xdr:spPr>
        <a:xfrm>
          <a:off x="2904066" y="254706"/>
          <a:ext cx="7138812" cy="63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001" sz="2000" b="1">
              <a:ln>
                <a:noFill/>
              </a:ln>
              <a:solidFill>
                <a:schemeClr val="bg1"/>
              </a:solidFill>
              <a:latin typeface="Arial Black" panose="020B0A04020102020204" pitchFamily="34" charset="0"/>
            </a:rPr>
            <a:t>HR analysis Dashboard</a:t>
          </a:r>
        </a:p>
        <a:p>
          <a:pPr algn="ctr"/>
          <a:endParaRPr lang="en-001" sz="2000" b="1">
            <a:ln>
              <a:noFill/>
            </a:ln>
            <a:solidFill>
              <a:schemeClr val="bg1"/>
            </a:solidFill>
            <a:latin typeface="Arial Black" panose="020B0A04020102020204" pitchFamily="34" charset="0"/>
          </a:endParaRPr>
        </a:p>
        <a:p>
          <a:endParaRPr lang="en-US" sz="1100">
            <a:ln>
              <a:noFill/>
            </a:ln>
          </a:endParaRPr>
        </a:p>
      </xdr:txBody>
    </xdr:sp>
    <xdr:clientData/>
  </xdr:twoCellAnchor>
  <xdr:twoCellAnchor>
    <xdr:from>
      <xdr:col>0</xdr:col>
      <xdr:colOff>366893</xdr:colOff>
      <xdr:row>5</xdr:row>
      <xdr:rowOff>56441</xdr:rowOff>
    </xdr:from>
    <xdr:to>
      <xdr:col>21</xdr:col>
      <xdr:colOff>253177</xdr:colOff>
      <xdr:row>31</xdr:row>
      <xdr:rowOff>63498</xdr:rowOff>
    </xdr:to>
    <xdr:grpSp>
      <xdr:nvGrpSpPr>
        <xdr:cNvPr id="4" name="Group 3">
          <a:extLst>
            <a:ext uri="{FF2B5EF4-FFF2-40B4-BE49-F238E27FC236}">
              <a16:creationId xmlns:a16="http://schemas.microsoft.com/office/drawing/2014/main" id="{79AB300E-6142-42BF-B92B-957E40E08F51}"/>
            </a:ext>
          </a:extLst>
        </xdr:cNvPr>
        <xdr:cNvGrpSpPr/>
      </xdr:nvGrpSpPr>
      <xdr:grpSpPr>
        <a:xfrm>
          <a:off x="366893" y="973663"/>
          <a:ext cx="12628617" cy="4776613"/>
          <a:chOff x="50812" y="1156749"/>
          <a:chExt cx="14112132" cy="4654989"/>
        </a:xfrm>
        <a:effectLst>
          <a:outerShdw blurRad="50800" dist="38100" dir="5400000" algn="t"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E8BB560A-76FA-2A3A-D4E5-06AE685A15A2}"/>
              </a:ext>
            </a:extLst>
          </xdr:cNvPr>
          <xdr:cNvSpPr/>
        </xdr:nvSpPr>
        <xdr:spPr>
          <a:xfrm>
            <a:off x="50812" y="1163628"/>
            <a:ext cx="4706056" cy="2289676"/>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a:extLst>
              <a:ext uri="{FF2B5EF4-FFF2-40B4-BE49-F238E27FC236}">
                <a16:creationId xmlns:a16="http://schemas.microsoft.com/office/drawing/2014/main" id="{F463156B-CE82-FCD7-50A7-718939D5C3F1}"/>
              </a:ext>
            </a:extLst>
          </xdr:cNvPr>
          <xdr:cNvGrpSpPr/>
        </xdr:nvGrpSpPr>
        <xdr:grpSpPr>
          <a:xfrm>
            <a:off x="487705" y="1234722"/>
            <a:ext cx="1620931" cy="451555"/>
            <a:chOff x="2362926" y="1396999"/>
            <a:chExt cx="1147118" cy="377123"/>
          </a:xfrm>
        </xdr:grpSpPr>
        <xdr:sp macro="" textlink="">
          <xdr:nvSpPr>
            <xdr:cNvPr id="26" name="Rectangle: Rounded Corners 25">
              <a:extLst>
                <a:ext uri="{FF2B5EF4-FFF2-40B4-BE49-F238E27FC236}">
                  <a16:creationId xmlns:a16="http://schemas.microsoft.com/office/drawing/2014/main" id="{61AF47C1-6486-FBDE-4B3B-B37D570B1A25}"/>
                </a:ext>
              </a:extLst>
            </xdr:cNvPr>
            <xdr:cNvSpPr/>
          </xdr:nvSpPr>
          <xdr:spPr>
            <a:xfrm>
              <a:off x="2362926" y="1396999"/>
              <a:ext cx="1147118" cy="377123"/>
            </a:xfrm>
            <a:prstGeom prst="roundRect">
              <a:avLst>
                <a:gd name="adj" fmla="val 4414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6DCD3F29-0B6A-3596-1846-C2EC516E58A5}"/>
                </a:ext>
              </a:extLst>
            </xdr:cNvPr>
            <xdr:cNvSpPr txBox="1"/>
          </xdr:nvSpPr>
          <xdr:spPr>
            <a:xfrm>
              <a:off x="2617434" y="1443459"/>
              <a:ext cx="684388" cy="31253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001" sz="1600" b="1">
                  <a:solidFill>
                    <a:srgbClr val="3C096C"/>
                  </a:solidFill>
                  <a:latin typeface="Arial Black" panose="020B0A04020102020204" pitchFamily="34" charset="0"/>
                </a:rPr>
                <a:t>KPIS</a:t>
              </a:r>
              <a:endParaRPr lang="en-US" sz="1600" b="1">
                <a:solidFill>
                  <a:srgbClr val="3C096C"/>
                </a:solidFill>
                <a:latin typeface="Arial Black" panose="020B0A04020102020204" pitchFamily="34" charset="0"/>
              </a:endParaRPr>
            </a:p>
          </xdr:txBody>
        </xdr:sp>
      </xdr:grpSp>
      <xdr:grpSp>
        <xdr:nvGrpSpPr>
          <xdr:cNvPr id="7" name="Group 6">
            <a:extLst>
              <a:ext uri="{FF2B5EF4-FFF2-40B4-BE49-F238E27FC236}">
                <a16:creationId xmlns:a16="http://schemas.microsoft.com/office/drawing/2014/main" id="{C6CD6320-B315-718F-D455-3759D2EB8C3D}"/>
              </a:ext>
            </a:extLst>
          </xdr:cNvPr>
          <xdr:cNvGrpSpPr/>
        </xdr:nvGrpSpPr>
        <xdr:grpSpPr>
          <a:xfrm>
            <a:off x="639567" y="1827029"/>
            <a:ext cx="1566335" cy="656167"/>
            <a:chOff x="639567" y="1827029"/>
            <a:chExt cx="1566335" cy="656167"/>
          </a:xfrm>
          <a:solidFill>
            <a:srgbClr val="3C096C"/>
          </a:solidFill>
        </xdr:grpSpPr>
        <xdr:sp macro="" textlink="">
          <xdr:nvSpPr>
            <xdr:cNvPr id="23" name="Rectangle: Rounded Corners 22">
              <a:extLst>
                <a:ext uri="{FF2B5EF4-FFF2-40B4-BE49-F238E27FC236}">
                  <a16:creationId xmlns:a16="http://schemas.microsoft.com/office/drawing/2014/main" id="{B783DD4C-0F81-BA0B-AD68-FA7BEAA0E6D3}"/>
                </a:ext>
              </a:extLst>
            </xdr:cNvPr>
            <xdr:cNvSpPr/>
          </xdr:nvSpPr>
          <xdr:spPr>
            <a:xfrm>
              <a:off x="639567" y="1827029"/>
              <a:ext cx="1566335" cy="656167"/>
            </a:xfrm>
            <a:prstGeom prst="roundRect">
              <a:avLst>
                <a:gd name="adj" fmla="val 4137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A60EF9D7-960B-079E-1DD4-4CEB3C45E4A0}"/>
                </a:ext>
              </a:extLst>
            </xdr:cNvPr>
            <xdr:cNvSpPr txBox="1"/>
          </xdr:nvSpPr>
          <xdr:spPr>
            <a:xfrm>
              <a:off x="723003" y="2166105"/>
              <a:ext cx="1456587" cy="19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0" u="none" strike="noStrike">
                  <a:solidFill>
                    <a:schemeClr val="bg1"/>
                  </a:solidFill>
                  <a:effectLst/>
                  <a:latin typeface="Arial Black" panose="020B0A04020102020204" pitchFamily="34" charset="0"/>
                  <a:ea typeface="+mn-ea"/>
                  <a:cs typeface="+mn-cs"/>
                </a:rPr>
                <a:t>Avg performance</a:t>
              </a:r>
              <a:r>
                <a:rPr lang="en-US" sz="600" b="1">
                  <a:solidFill>
                    <a:schemeClr val="bg1"/>
                  </a:solidFill>
                  <a:effectLst/>
                  <a:latin typeface="Arial Black" panose="020B0A04020102020204" pitchFamily="34" charset="0"/>
                </a:rPr>
                <a:t> </a:t>
              </a:r>
              <a:endParaRPr lang="en-US" sz="600" b="1">
                <a:solidFill>
                  <a:schemeClr val="bg1"/>
                </a:solidFill>
                <a:latin typeface="Arial Black" panose="020B0A04020102020204" pitchFamily="34" charset="0"/>
              </a:endParaRPr>
            </a:p>
          </xdr:txBody>
        </xdr:sp>
        <xdr:sp macro="" textlink="'pivot table'!B6">
          <xdr:nvSpPr>
            <xdr:cNvPr id="25" name="Text Box 1">
              <a:extLst>
                <a:ext uri="{FF2B5EF4-FFF2-40B4-BE49-F238E27FC236}">
                  <a16:creationId xmlns:a16="http://schemas.microsoft.com/office/drawing/2014/main" id="{D23F073D-4321-0E92-4237-5D443115C14E}"/>
                </a:ext>
              </a:extLst>
            </xdr:cNvPr>
            <xdr:cNvSpPr txBox="1">
              <a:spLocks noChangeArrowheads="1"/>
            </xdr:cNvSpPr>
          </xdr:nvSpPr>
          <xdr:spPr bwMode="auto">
            <a:xfrm>
              <a:off x="1220207" y="1870213"/>
              <a:ext cx="360171" cy="235415"/>
            </a:xfrm>
            <a:prstGeom prst="rect">
              <a:avLst/>
            </a:prstGeom>
            <a:grpFill/>
            <a:ln w="9525">
              <a:noFill/>
              <a:miter lim="800000"/>
              <a:headEnd/>
              <a:tailEnd/>
            </a:ln>
          </xdr:spPr>
          <xdr:txBody>
            <a:bodyPr vertOverflow="clip" wrap="square" lIns="36576" tIns="32004" rIns="0" bIns="0" anchor="t" upright="1"/>
            <a:lstStyle/>
            <a:p>
              <a:pPr algn="l" rtl="0">
                <a:defRPr sz="1000"/>
              </a:pPr>
              <a:fld id="{43A76272-5BA1-44C8-944D-5C5D41D0B547}" type="TxLink">
                <a:rPr lang="en-US" sz="1200" b="1" i="0" u="none" strike="noStrike" baseline="0">
                  <a:solidFill>
                    <a:schemeClr val="bg1"/>
                  </a:solidFill>
                  <a:latin typeface="Calibri"/>
                  <a:ea typeface="Calibri"/>
                  <a:cs typeface="Calibri"/>
                </a:rPr>
                <a:pPr algn="l" rtl="0">
                  <a:defRPr sz="1000"/>
                </a:pPr>
                <a:t>3.77</a:t>
              </a:fld>
              <a:endParaRPr lang="en-US" sz="1400" b="1" i="0" u="none" strike="noStrike" baseline="0">
                <a:solidFill>
                  <a:schemeClr val="bg1"/>
                </a:solidFill>
                <a:latin typeface="Calibri"/>
                <a:ea typeface="Calibri"/>
                <a:cs typeface="Calibri"/>
              </a:endParaRPr>
            </a:p>
          </xdr:txBody>
        </xdr:sp>
      </xdr:grpSp>
      <xdr:grpSp>
        <xdr:nvGrpSpPr>
          <xdr:cNvPr id="8" name="Group 7">
            <a:extLst>
              <a:ext uri="{FF2B5EF4-FFF2-40B4-BE49-F238E27FC236}">
                <a16:creationId xmlns:a16="http://schemas.microsoft.com/office/drawing/2014/main" id="{211E2A7B-0757-F979-1BD6-39E9FBF28B86}"/>
              </a:ext>
            </a:extLst>
          </xdr:cNvPr>
          <xdr:cNvGrpSpPr/>
        </xdr:nvGrpSpPr>
        <xdr:grpSpPr>
          <a:xfrm>
            <a:off x="2384586" y="1813279"/>
            <a:ext cx="2057825" cy="643019"/>
            <a:chOff x="430197" y="1813279"/>
            <a:chExt cx="2057825" cy="643019"/>
          </a:xfrm>
          <a:solidFill>
            <a:srgbClr val="3C096C"/>
          </a:solidFill>
        </xdr:grpSpPr>
        <xdr:sp macro="" textlink="">
          <xdr:nvSpPr>
            <xdr:cNvPr id="20" name="Rectangle: Rounded Corners 19">
              <a:extLst>
                <a:ext uri="{FF2B5EF4-FFF2-40B4-BE49-F238E27FC236}">
                  <a16:creationId xmlns:a16="http://schemas.microsoft.com/office/drawing/2014/main" id="{E8086EF5-E289-6D8D-3207-A0B553869E72}"/>
                </a:ext>
              </a:extLst>
            </xdr:cNvPr>
            <xdr:cNvSpPr/>
          </xdr:nvSpPr>
          <xdr:spPr>
            <a:xfrm>
              <a:off x="430197" y="1813279"/>
              <a:ext cx="2057825" cy="642056"/>
            </a:xfrm>
            <a:prstGeom prst="roundRect">
              <a:avLst>
                <a:gd name="adj" fmla="val 41379"/>
              </a:avLst>
            </a:prstGeom>
            <a:solidFill>
              <a:srgbClr val="3C09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D858EB97-06D6-ACB9-28D2-C6E7143C060C}"/>
                </a:ext>
              </a:extLst>
            </xdr:cNvPr>
            <xdr:cNvSpPr txBox="1"/>
          </xdr:nvSpPr>
          <xdr:spPr>
            <a:xfrm>
              <a:off x="488492" y="2187809"/>
              <a:ext cx="1747231" cy="26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0" u="none" strike="noStrike">
                  <a:solidFill>
                    <a:schemeClr val="bg1"/>
                  </a:solidFill>
                  <a:effectLst/>
                  <a:latin typeface="Arial Black" panose="020B0A04020102020204" pitchFamily="34" charset="0"/>
                  <a:ea typeface="+mn-ea"/>
                  <a:cs typeface="+mn-cs"/>
                </a:rPr>
                <a:t>Average of TrainingCost</a:t>
              </a:r>
              <a:r>
                <a:rPr lang="en-US" sz="500">
                  <a:solidFill>
                    <a:schemeClr val="bg1"/>
                  </a:solidFill>
                  <a:effectLst/>
                  <a:latin typeface="Arial Black" panose="020B0A04020102020204" pitchFamily="34" charset="0"/>
                </a:rPr>
                <a:t> </a:t>
              </a:r>
              <a:endParaRPr lang="en-US" sz="500">
                <a:solidFill>
                  <a:schemeClr val="bg1"/>
                </a:solidFill>
                <a:latin typeface="Arial Black" panose="020B0A04020102020204" pitchFamily="34" charset="0"/>
              </a:endParaRPr>
            </a:p>
          </xdr:txBody>
        </xdr:sp>
        <xdr:sp macro="" textlink="'pivot table'!B10">
          <xdr:nvSpPr>
            <xdr:cNvPr id="22" name="Text Box 1">
              <a:extLst>
                <a:ext uri="{FF2B5EF4-FFF2-40B4-BE49-F238E27FC236}">
                  <a16:creationId xmlns:a16="http://schemas.microsoft.com/office/drawing/2014/main" id="{853E570D-EBA4-71A4-1779-19A1FC8984B5}"/>
                </a:ext>
              </a:extLst>
            </xdr:cNvPr>
            <xdr:cNvSpPr txBox="1">
              <a:spLocks noChangeArrowheads="1"/>
            </xdr:cNvSpPr>
          </xdr:nvSpPr>
          <xdr:spPr bwMode="auto">
            <a:xfrm>
              <a:off x="1141746" y="1885043"/>
              <a:ext cx="573607" cy="206832"/>
            </a:xfrm>
            <a:prstGeom prst="rect">
              <a:avLst/>
            </a:prstGeom>
            <a:grpFill/>
            <a:ln w="9525">
              <a:noFill/>
              <a:miter lim="800000"/>
              <a:headEnd/>
              <a:tailEnd/>
            </a:ln>
          </xdr:spPr>
          <xdr:txBody>
            <a:bodyPr vertOverflow="clip" wrap="square" lIns="36576" tIns="32004" rIns="0" bIns="0" anchor="t" upright="1"/>
            <a:lstStyle/>
            <a:p>
              <a:pPr algn="l" rtl="0">
                <a:defRPr sz="1000"/>
              </a:pPr>
              <a:fld id="{AD7F7FB8-48A8-4A9A-9C52-4A1FE82BD5CE}" type="TxLink">
                <a:rPr lang="en-US" sz="1100" b="1" i="0" u="none" strike="noStrike" baseline="0">
                  <a:solidFill>
                    <a:schemeClr val="bg1"/>
                  </a:solidFill>
                  <a:latin typeface="Calibri"/>
                  <a:ea typeface="Calibri"/>
                  <a:cs typeface="Calibri"/>
                </a:rPr>
                <a:pPr algn="l" rtl="0">
                  <a:defRPr sz="1000"/>
                </a:pPr>
                <a:t>1043.7</a:t>
              </a:fld>
              <a:endParaRPr lang="en-US" sz="1200" b="1" i="0" u="none" strike="noStrike" baseline="0">
                <a:solidFill>
                  <a:schemeClr val="bg1"/>
                </a:solidFill>
                <a:latin typeface="Calibri"/>
                <a:ea typeface="Calibri"/>
                <a:cs typeface="Calibri"/>
              </a:endParaRPr>
            </a:p>
          </xdr:txBody>
        </xdr:sp>
      </xdr:grpSp>
      <xdr:grpSp>
        <xdr:nvGrpSpPr>
          <xdr:cNvPr id="9" name="Group 8">
            <a:extLst>
              <a:ext uri="{FF2B5EF4-FFF2-40B4-BE49-F238E27FC236}">
                <a16:creationId xmlns:a16="http://schemas.microsoft.com/office/drawing/2014/main" id="{F7F6010F-720A-8B65-7490-5BCC049BDFA1}"/>
              </a:ext>
            </a:extLst>
          </xdr:cNvPr>
          <xdr:cNvGrpSpPr/>
        </xdr:nvGrpSpPr>
        <xdr:grpSpPr>
          <a:xfrm>
            <a:off x="2333729" y="2593819"/>
            <a:ext cx="2148103" cy="694466"/>
            <a:chOff x="379339" y="1521374"/>
            <a:chExt cx="2148102" cy="694466"/>
          </a:xfrm>
          <a:solidFill>
            <a:srgbClr val="3C096C"/>
          </a:solidFill>
        </xdr:grpSpPr>
        <xdr:sp macro="" textlink="">
          <xdr:nvSpPr>
            <xdr:cNvPr id="17" name="Rectangle: Rounded Corners 16">
              <a:extLst>
                <a:ext uri="{FF2B5EF4-FFF2-40B4-BE49-F238E27FC236}">
                  <a16:creationId xmlns:a16="http://schemas.microsoft.com/office/drawing/2014/main" id="{11079736-248C-C586-4808-38B3F17391CA}"/>
                </a:ext>
              </a:extLst>
            </xdr:cNvPr>
            <xdr:cNvSpPr/>
          </xdr:nvSpPr>
          <xdr:spPr>
            <a:xfrm>
              <a:off x="379339" y="1521374"/>
              <a:ext cx="2148102" cy="694466"/>
            </a:xfrm>
            <a:prstGeom prst="roundRect">
              <a:avLst>
                <a:gd name="adj" fmla="val 4137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76B18C18-F7C9-A97B-3FAA-0925B2808BED}"/>
                </a:ext>
              </a:extLst>
            </xdr:cNvPr>
            <xdr:cNvSpPr txBox="1"/>
          </xdr:nvSpPr>
          <xdr:spPr>
            <a:xfrm>
              <a:off x="465666" y="1878919"/>
              <a:ext cx="1998705" cy="20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effectLst/>
                  <a:latin typeface="Arial Black" panose="020B0A04020102020204" pitchFamily="34" charset="0"/>
                  <a:ea typeface="+mn-ea"/>
                  <a:cs typeface="+mn-cs"/>
                </a:rPr>
                <a:t>Average of AbsenceDays</a:t>
              </a:r>
              <a:r>
                <a:rPr lang="en-US" sz="900" b="0">
                  <a:solidFill>
                    <a:schemeClr val="bg1"/>
                  </a:solidFill>
                  <a:effectLst/>
                  <a:latin typeface="Arial Black" panose="020B0A04020102020204" pitchFamily="34" charset="0"/>
                </a:rPr>
                <a:t> </a:t>
              </a:r>
              <a:endParaRPr lang="en-US" sz="900" b="0">
                <a:solidFill>
                  <a:schemeClr val="bg1"/>
                </a:solidFill>
                <a:latin typeface="Arial Black" panose="020B0A04020102020204" pitchFamily="34" charset="0"/>
              </a:endParaRPr>
            </a:p>
          </xdr:txBody>
        </xdr:sp>
        <xdr:sp macro="" textlink="'pivot table'!B9">
          <xdr:nvSpPr>
            <xdr:cNvPr id="19" name="Text Box 1">
              <a:extLst>
                <a:ext uri="{FF2B5EF4-FFF2-40B4-BE49-F238E27FC236}">
                  <a16:creationId xmlns:a16="http://schemas.microsoft.com/office/drawing/2014/main" id="{09BE3125-A1A8-E5E3-7D37-D8407AC0D587}"/>
                </a:ext>
              </a:extLst>
            </xdr:cNvPr>
            <xdr:cNvSpPr txBox="1">
              <a:spLocks noChangeArrowheads="1"/>
            </xdr:cNvSpPr>
          </xdr:nvSpPr>
          <xdr:spPr bwMode="auto">
            <a:xfrm>
              <a:off x="1260010" y="1616033"/>
              <a:ext cx="392265" cy="201001"/>
            </a:xfrm>
            <a:prstGeom prst="rect">
              <a:avLst/>
            </a:prstGeom>
            <a:grpFill/>
            <a:ln w="9525">
              <a:noFill/>
              <a:miter lim="800000"/>
              <a:headEnd/>
              <a:tailEnd/>
            </a:ln>
          </xdr:spPr>
          <xdr:txBody>
            <a:bodyPr vertOverflow="clip" wrap="square" lIns="36576" tIns="32004" rIns="0" bIns="0" anchor="t" upright="1"/>
            <a:lstStyle/>
            <a:p>
              <a:pPr algn="l" rtl="0">
                <a:defRPr sz="1000"/>
              </a:pPr>
              <a:fld id="{A62621F0-6073-4935-9431-331982FF4E0F}" type="TxLink">
                <a:rPr lang="en-US" sz="1100" b="1" i="0" u="none" strike="noStrike" baseline="0">
                  <a:solidFill>
                    <a:schemeClr val="bg1"/>
                  </a:solidFill>
                  <a:latin typeface="Calibri"/>
                  <a:ea typeface="Calibri"/>
                  <a:cs typeface="Calibri"/>
                </a:rPr>
                <a:pPr algn="l" rtl="0">
                  <a:defRPr sz="1000"/>
                </a:pPr>
                <a:t>10.8</a:t>
              </a:fld>
              <a:endParaRPr lang="en-US" sz="1100" b="1" i="0" u="none" strike="noStrike" baseline="0">
                <a:solidFill>
                  <a:schemeClr val="bg1"/>
                </a:solidFill>
                <a:latin typeface="Calibri"/>
                <a:ea typeface="Calibri"/>
                <a:cs typeface="Calibri"/>
              </a:endParaRPr>
            </a:p>
          </xdr:txBody>
        </xdr:sp>
      </xdr:grpSp>
      <xdr:grpSp>
        <xdr:nvGrpSpPr>
          <xdr:cNvPr id="10" name="Group 9">
            <a:extLst>
              <a:ext uri="{FF2B5EF4-FFF2-40B4-BE49-F238E27FC236}">
                <a16:creationId xmlns:a16="http://schemas.microsoft.com/office/drawing/2014/main" id="{732A1D77-C490-C051-108E-A8EEBA1A5D99}"/>
              </a:ext>
            </a:extLst>
          </xdr:cNvPr>
          <xdr:cNvGrpSpPr/>
        </xdr:nvGrpSpPr>
        <xdr:grpSpPr>
          <a:xfrm>
            <a:off x="642056" y="2610556"/>
            <a:ext cx="1566334" cy="656167"/>
            <a:chOff x="571500" y="1538111"/>
            <a:chExt cx="1566334" cy="656167"/>
          </a:xfrm>
          <a:solidFill>
            <a:srgbClr val="3C096C"/>
          </a:solidFill>
        </xdr:grpSpPr>
        <xdr:sp macro="" textlink="">
          <xdr:nvSpPr>
            <xdr:cNvPr id="14" name="Rectangle: Rounded Corners 13">
              <a:extLst>
                <a:ext uri="{FF2B5EF4-FFF2-40B4-BE49-F238E27FC236}">
                  <a16:creationId xmlns:a16="http://schemas.microsoft.com/office/drawing/2014/main" id="{69687244-0B85-4389-22A4-9F03E55975E5}"/>
                </a:ext>
              </a:extLst>
            </xdr:cNvPr>
            <xdr:cNvSpPr/>
          </xdr:nvSpPr>
          <xdr:spPr>
            <a:xfrm>
              <a:off x="571500" y="1538111"/>
              <a:ext cx="1566334" cy="656167"/>
            </a:xfrm>
            <a:prstGeom prst="roundRect">
              <a:avLst>
                <a:gd name="adj" fmla="val 4137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A0F770D3-3F5C-FAA1-8A32-CCED09556DAB}"/>
                </a:ext>
              </a:extLst>
            </xdr:cNvPr>
            <xdr:cNvSpPr txBox="1"/>
          </xdr:nvSpPr>
          <xdr:spPr>
            <a:xfrm>
              <a:off x="835042" y="1869412"/>
              <a:ext cx="1157111" cy="2046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Arial Black" panose="020B0A04020102020204" pitchFamily="34" charset="0"/>
                  <a:ea typeface="+mn-ea"/>
                  <a:cs typeface="+mn-cs"/>
                </a:rPr>
                <a:t>AVG salary</a:t>
              </a:r>
              <a:r>
                <a:rPr lang="en-US">
                  <a:solidFill>
                    <a:schemeClr val="bg1"/>
                  </a:solidFill>
                  <a:effectLst/>
                  <a:latin typeface="Arial Black" panose="020B0A04020102020204" pitchFamily="34" charset="0"/>
                </a:rPr>
                <a:t> </a:t>
              </a:r>
              <a:endParaRPr lang="en-US" sz="1100">
                <a:solidFill>
                  <a:schemeClr val="bg1"/>
                </a:solidFill>
                <a:latin typeface="Arial Black" panose="020B0A04020102020204" pitchFamily="34" charset="0"/>
              </a:endParaRPr>
            </a:p>
          </xdr:txBody>
        </xdr:sp>
        <xdr:sp macro="" textlink="'pivot table'!B5">
          <xdr:nvSpPr>
            <xdr:cNvPr id="16" name="Text Box 1">
              <a:extLst>
                <a:ext uri="{FF2B5EF4-FFF2-40B4-BE49-F238E27FC236}">
                  <a16:creationId xmlns:a16="http://schemas.microsoft.com/office/drawing/2014/main" id="{1AE4C201-BE54-74A9-8BF4-B0FE33786FD3}"/>
                </a:ext>
              </a:extLst>
            </xdr:cNvPr>
            <xdr:cNvSpPr txBox="1">
              <a:spLocks noChangeArrowheads="1"/>
            </xdr:cNvSpPr>
          </xdr:nvSpPr>
          <xdr:spPr bwMode="auto">
            <a:xfrm>
              <a:off x="973241" y="1614953"/>
              <a:ext cx="987777" cy="246945"/>
            </a:xfrm>
            <a:prstGeom prst="rect">
              <a:avLst/>
            </a:prstGeom>
            <a:grpFill/>
            <a:ln w="9525">
              <a:noFill/>
              <a:miter lim="800000"/>
              <a:headEnd/>
              <a:tailEnd/>
            </a:ln>
          </xdr:spPr>
          <xdr:txBody>
            <a:bodyPr vertOverflow="clip" wrap="square" lIns="36576" tIns="32004" rIns="0" bIns="0" anchor="t" upright="1"/>
            <a:lstStyle/>
            <a:p>
              <a:pPr algn="l" rtl="0">
                <a:defRPr sz="1000"/>
              </a:pPr>
              <a:fld id="{8C518F07-F26B-4C56-8BE4-C5DB6C65159F}" type="TxLink">
                <a:rPr lang="en-US" sz="1100" b="1" i="0" u="none" strike="noStrike" baseline="0">
                  <a:solidFill>
                    <a:schemeClr val="bg1"/>
                  </a:solidFill>
                  <a:latin typeface="Calibri"/>
                  <a:ea typeface="Calibri"/>
                  <a:cs typeface="Calibri"/>
                </a:rPr>
                <a:pPr algn="l" rtl="0">
                  <a:defRPr sz="1000"/>
                </a:pPr>
                <a:t> $9,582.35 </a:t>
              </a:fld>
              <a:endParaRPr lang="en-US" sz="1100" b="1" i="0" u="none" strike="noStrike" baseline="0">
                <a:solidFill>
                  <a:schemeClr val="bg1"/>
                </a:solidFill>
                <a:latin typeface="Calibri"/>
                <a:ea typeface="Calibri"/>
                <a:cs typeface="Calibri"/>
              </a:endParaRPr>
            </a:p>
          </xdr:txBody>
        </xdr:sp>
      </xdr:grpSp>
      <xdr:sp macro="" textlink="">
        <xdr:nvSpPr>
          <xdr:cNvPr id="11" name="Rectangle: Rounded Corners 10">
            <a:extLst>
              <a:ext uri="{FF2B5EF4-FFF2-40B4-BE49-F238E27FC236}">
                <a16:creationId xmlns:a16="http://schemas.microsoft.com/office/drawing/2014/main" id="{3E2B0A8D-C3DE-4660-404A-623C50C355E4}"/>
              </a:ext>
            </a:extLst>
          </xdr:cNvPr>
          <xdr:cNvSpPr/>
        </xdr:nvSpPr>
        <xdr:spPr>
          <a:xfrm>
            <a:off x="54718" y="3680208"/>
            <a:ext cx="5956687" cy="2117779"/>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23845110-2B79-2EDB-2CCF-F2EC537A7352}"/>
              </a:ext>
            </a:extLst>
          </xdr:cNvPr>
          <xdr:cNvSpPr/>
        </xdr:nvSpPr>
        <xdr:spPr>
          <a:xfrm>
            <a:off x="4855830" y="1177379"/>
            <a:ext cx="3899344" cy="2330932"/>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3" name="Rectangle: Rounded Corners 12">
            <a:extLst>
              <a:ext uri="{FF2B5EF4-FFF2-40B4-BE49-F238E27FC236}">
                <a16:creationId xmlns:a16="http://schemas.microsoft.com/office/drawing/2014/main" id="{60CF823B-86BB-DFB4-D191-26F7EA6EFBF8}"/>
              </a:ext>
            </a:extLst>
          </xdr:cNvPr>
          <xdr:cNvSpPr/>
        </xdr:nvSpPr>
        <xdr:spPr>
          <a:xfrm>
            <a:off x="11451634" y="1156749"/>
            <a:ext cx="2711310" cy="4455588"/>
          </a:xfrm>
          <a:prstGeom prst="roundRect">
            <a:avLst>
              <a:gd name="adj" fmla="val 15530"/>
            </a:avLst>
          </a:prstGeom>
          <a:solidFill>
            <a:srgbClr val="3C09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E5E24C05-F690-020A-728A-88D07CBE3A10}"/>
              </a:ext>
            </a:extLst>
          </xdr:cNvPr>
          <xdr:cNvSpPr/>
        </xdr:nvSpPr>
        <xdr:spPr>
          <a:xfrm>
            <a:off x="6129671" y="3693959"/>
            <a:ext cx="5274658" cy="2117779"/>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FBE4DFAB-7C30-383D-4AEA-C06F4D830A26}"/>
              </a:ext>
            </a:extLst>
          </xdr:cNvPr>
          <xdr:cNvSpPr/>
        </xdr:nvSpPr>
        <xdr:spPr>
          <a:xfrm>
            <a:off x="8826132" y="1184255"/>
            <a:ext cx="2562427" cy="2330932"/>
          </a:xfrm>
          <a:prstGeom prst="roundRect">
            <a:avLst>
              <a:gd name="adj" fmla="val 25126"/>
            </a:avLst>
          </a:prstGeom>
          <a:gradFill flip="none" rotWithShape="1">
            <a:gsLst>
              <a:gs pos="0">
                <a:srgbClr val="3C096C">
                  <a:tint val="66000"/>
                  <a:satMod val="160000"/>
                </a:srgbClr>
              </a:gs>
              <a:gs pos="50000">
                <a:srgbClr val="3C096C">
                  <a:tint val="44500"/>
                  <a:satMod val="160000"/>
                </a:srgbClr>
              </a:gs>
              <a:gs pos="100000">
                <a:srgbClr val="3C096C">
                  <a:tint val="23500"/>
                  <a:satMod val="160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clientData/>
  </xdr:twoCellAnchor>
  <xdr:twoCellAnchor>
    <xdr:from>
      <xdr:col>17</xdr:col>
      <xdr:colOff>388058</xdr:colOff>
      <xdr:row>5</xdr:row>
      <xdr:rowOff>134056</xdr:rowOff>
    </xdr:from>
    <xdr:to>
      <xdr:col>19</xdr:col>
      <xdr:colOff>405704</xdr:colOff>
      <xdr:row>7</xdr:row>
      <xdr:rowOff>84667</xdr:rowOff>
    </xdr:to>
    <xdr:sp macro="" textlink="">
      <xdr:nvSpPr>
        <xdr:cNvPr id="30" name="Rectangle: Rounded Corners 29">
          <a:extLst>
            <a:ext uri="{FF2B5EF4-FFF2-40B4-BE49-F238E27FC236}">
              <a16:creationId xmlns:a16="http://schemas.microsoft.com/office/drawing/2014/main" id="{9AA15AF0-177B-4134-97CD-8502F932FDAD}"/>
            </a:ext>
          </a:extLst>
        </xdr:cNvPr>
        <xdr:cNvSpPr/>
      </xdr:nvSpPr>
      <xdr:spPr>
        <a:xfrm>
          <a:off x="10703280" y="1051278"/>
          <a:ext cx="1231202" cy="317500"/>
        </a:xfrm>
        <a:prstGeom prst="roundRect">
          <a:avLst>
            <a:gd name="adj" fmla="val 4414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448829</xdr:colOff>
      <xdr:row>5</xdr:row>
      <xdr:rowOff>85304</xdr:rowOff>
    </xdr:from>
    <xdr:to>
      <xdr:col>19</xdr:col>
      <xdr:colOff>261055</xdr:colOff>
      <xdr:row>6</xdr:row>
      <xdr:rowOff>176389</xdr:rowOff>
    </xdr:to>
    <xdr:sp macro="" textlink="">
      <xdr:nvSpPr>
        <xdr:cNvPr id="31" name="TextBox 30">
          <a:extLst>
            <a:ext uri="{FF2B5EF4-FFF2-40B4-BE49-F238E27FC236}">
              <a16:creationId xmlns:a16="http://schemas.microsoft.com/office/drawing/2014/main" id="{B51ED260-6C74-444C-ABD0-5D4670D3B833}"/>
            </a:ext>
          </a:extLst>
        </xdr:cNvPr>
        <xdr:cNvSpPr txBox="1"/>
      </xdr:nvSpPr>
      <xdr:spPr>
        <a:xfrm>
          <a:off x="10764051" y="1002526"/>
          <a:ext cx="1025782" cy="27453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600" b="1">
              <a:solidFill>
                <a:srgbClr val="3C096C"/>
              </a:solidFill>
              <a:latin typeface="Arial Black" panose="020B0A04020102020204" pitchFamily="34" charset="0"/>
            </a:rPr>
            <a:t>Slicers</a:t>
          </a:r>
        </a:p>
      </xdr:txBody>
    </xdr:sp>
    <xdr:clientData/>
  </xdr:twoCellAnchor>
  <xdr:twoCellAnchor editAs="oneCell">
    <xdr:from>
      <xdr:col>17</xdr:col>
      <xdr:colOff>331612</xdr:colOff>
      <xdr:row>21</xdr:row>
      <xdr:rowOff>49390</xdr:rowOff>
    </xdr:from>
    <xdr:to>
      <xdr:col>20</xdr:col>
      <xdr:colOff>571500</xdr:colOff>
      <xdr:row>28</xdr:row>
      <xdr:rowOff>91723</xdr:rowOff>
    </xdr:to>
    <mc:AlternateContent xmlns:mc="http://schemas.openxmlformats.org/markup-compatibility/2006" xmlns:a14="http://schemas.microsoft.com/office/drawing/2010/main">
      <mc:Choice Requires="a14">
        <xdr:graphicFrame macro="">
          <xdr:nvGraphicFramePr>
            <xdr:cNvPr id="32" name="Department 2">
              <a:extLst>
                <a:ext uri="{FF2B5EF4-FFF2-40B4-BE49-F238E27FC236}">
                  <a16:creationId xmlns:a16="http://schemas.microsoft.com/office/drawing/2014/main" id="{2C98D1B6-4163-45BE-A594-86C804B1DAC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646834" y="3901723"/>
              <a:ext cx="2060222" cy="1326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317501</xdr:colOff>
      <xdr:row>14</xdr:row>
      <xdr:rowOff>109359</xdr:rowOff>
    </xdr:from>
    <xdr:to>
      <xdr:col>21</xdr:col>
      <xdr:colOff>112890</xdr:colOff>
      <xdr:row>20</xdr:row>
      <xdr:rowOff>63500</xdr:rowOff>
    </xdr:to>
    <mc:AlternateContent xmlns:mc="http://schemas.openxmlformats.org/markup-compatibility/2006" xmlns:a14="http://schemas.microsoft.com/office/drawing/2010/main">
      <mc:Choice Requires="a14">
        <xdr:graphicFrame macro="">
          <xdr:nvGraphicFramePr>
            <xdr:cNvPr id="33" name="JobRole 2">
              <a:extLst>
                <a:ext uri="{FF2B5EF4-FFF2-40B4-BE49-F238E27FC236}">
                  <a16:creationId xmlns:a16="http://schemas.microsoft.com/office/drawing/2014/main" id="{A7916E80-1ADF-4296-9DD6-2C8D62FA1FF4}"/>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0632723" y="2677581"/>
              <a:ext cx="2222500" cy="1054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303389</xdr:colOff>
      <xdr:row>7</xdr:row>
      <xdr:rowOff>134055</xdr:rowOff>
    </xdr:from>
    <xdr:to>
      <xdr:col>21</xdr:col>
      <xdr:colOff>14111</xdr:colOff>
      <xdr:row>14</xdr:row>
      <xdr:rowOff>127000</xdr:rowOff>
    </xdr:to>
    <mc:AlternateContent xmlns:mc="http://schemas.openxmlformats.org/markup-compatibility/2006" xmlns:a14="http://schemas.microsoft.com/office/drawing/2010/main">
      <mc:Choice Requires="a14">
        <xdr:graphicFrame macro="">
          <xdr:nvGraphicFramePr>
            <xdr:cNvPr id="34" name="Performance 2">
              <a:extLst>
                <a:ext uri="{FF2B5EF4-FFF2-40B4-BE49-F238E27FC236}">
                  <a16:creationId xmlns:a16="http://schemas.microsoft.com/office/drawing/2014/main" id="{05222076-BDFF-4282-8E36-AEA0ED055398}"/>
                </a:ext>
              </a:extLst>
            </xdr:cNvPr>
            <xdr:cNvGraphicFramePr/>
          </xdr:nvGraphicFramePr>
          <xdr:xfrm>
            <a:off x="0" y="0"/>
            <a:ext cx="0" cy="0"/>
          </xdr:xfrm>
          <a:graphic>
            <a:graphicData uri="http://schemas.microsoft.com/office/drawing/2010/slicer">
              <sle:slicer xmlns:sle="http://schemas.microsoft.com/office/drawing/2010/slicer" name="Performance 2"/>
            </a:graphicData>
          </a:graphic>
        </xdr:graphicFrame>
      </mc:Choice>
      <mc:Fallback xmlns="">
        <xdr:sp macro="" textlink="">
          <xdr:nvSpPr>
            <xdr:cNvPr id="0" name=""/>
            <xdr:cNvSpPr>
              <a:spLocks noTextEdit="1"/>
            </xdr:cNvSpPr>
          </xdr:nvSpPr>
          <xdr:spPr>
            <a:xfrm>
              <a:off x="10618611" y="1418166"/>
              <a:ext cx="2137833" cy="1277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423332</xdr:colOff>
      <xdr:row>1</xdr:row>
      <xdr:rowOff>1</xdr:rowOff>
    </xdr:from>
    <xdr:to>
      <xdr:col>7</xdr:col>
      <xdr:colOff>451476</xdr:colOff>
      <xdr:row>4</xdr:row>
      <xdr:rowOff>84588</xdr:rowOff>
    </xdr:to>
    <xdr:pic>
      <xdr:nvPicPr>
        <xdr:cNvPr id="35" name="Picture 34">
          <a:extLst>
            <a:ext uri="{FF2B5EF4-FFF2-40B4-BE49-F238E27FC236}">
              <a16:creationId xmlns:a16="http://schemas.microsoft.com/office/drawing/2014/main" id="{D7C908CA-58F7-410D-857D-986C329035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0932" y="184151"/>
          <a:ext cx="637744" cy="637037"/>
        </a:xfrm>
        <a:prstGeom prst="rect">
          <a:avLst/>
        </a:prstGeom>
      </xdr:spPr>
    </xdr:pic>
    <xdr:clientData/>
  </xdr:twoCellAnchor>
  <xdr:twoCellAnchor editAs="oneCell">
    <xdr:from>
      <xdr:col>1</xdr:col>
      <xdr:colOff>268117</xdr:colOff>
      <xdr:row>6</xdr:row>
      <xdr:rowOff>0</xdr:rowOff>
    </xdr:from>
    <xdr:to>
      <xdr:col>2</xdr:col>
      <xdr:colOff>6</xdr:colOff>
      <xdr:row>7</xdr:row>
      <xdr:rowOff>155223</xdr:rowOff>
    </xdr:to>
    <xdr:pic>
      <xdr:nvPicPr>
        <xdr:cNvPr id="36" name="Picture 35">
          <a:extLst>
            <a:ext uri="{FF2B5EF4-FFF2-40B4-BE49-F238E27FC236}">
              <a16:creationId xmlns:a16="http://schemas.microsoft.com/office/drawing/2014/main" id="{63AE2285-D8FE-4F90-8F78-9F38235F6367}"/>
            </a:ext>
          </a:extLst>
        </xdr:cNvPr>
        <xdr:cNvPicPr>
          <a:picLocks noChangeAspect="1"/>
        </xdr:cNvPicPr>
      </xdr:nvPicPr>
      <xdr:blipFill>
        <a:blip xmlns:r="http://schemas.openxmlformats.org/officeDocument/2006/relationships" r:embed="rId2"/>
        <a:stretch>
          <a:fillRect/>
        </a:stretch>
      </xdr:blipFill>
      <xdr:spPr>
        <a:xfrm>
          <a:off x="874895" y="1100667"/>
          <a:ext cx="338667" cy="338667"/>
        </a:xfrm>
        <a:prstGeom prst="rect">
          <a:avLst/>
        </a:prstGeom>
      </xdr:spPr>
    </xdr:pic>
    <xdr:clientData/>
  </xdr:twoCellAnchor>
  <xdr:twoCellAnchor editAs="oneCell">
    <xdr:from>
      <xdr:col>20</xdr:col>
      <xdr:colOff>-1</xdr:colOff>
      <xdr:row>0</xdr:row>
      <xdr:rowOff>98778</xdr:rowOff>
    </xdr:from>
    <xdr:to>
      <xdr:col>21</xdr:col>
      <xdr:colOff>205920</xdr:colOff>
      <xdr:row>4</xdr:row>
      <xdr:rowOff>177698</xdr:rowOff>
    </xdr:to>
    <xdr:pic>
      <xdr:nvPicPr>
        <xdr:cNvPr id="37" name="Picture 36">
          <a:hlinkClick xmlns:r="http://schemas.openxmlformats.org/officeDocument/2006/relationships" r:id="rId3"/>
          <a:extLst>
            <a:ext uri="{FF2B5EF4-FFF2-40B4-BE49-F238E27FC236}">
              <a16:creationId xmlns:a16="http://schemas.microsoft.com/office/drawing/2014/main" id="{78B861E5-8239-4731-8C90-7442D2D977E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135555" y="98778"/>
          <a:ext cx="812698" cy="812698"/>
        </a:xfrm>
        <a:prstGeom prst="rect">
          <a:avLst/>
        </a:prstGeom>
      </xdr:spPr>
    </xdr:pic>
    <xdr:clientData/>
  </xdr:twoCellAnchor>
  <xdr:twoCellAnchor editAs="oneCell">
    <xdr:from>
      <xdr:col>0</xdr:col>
      <xdr:colOff>493889</xdr:colOff>
      <xdr:row>1</xdr:row>
      <xdr:rowOff>35278</xdr:rowOff>
    </xdr:from>
    <xdr:to>
      <xdr:col>1</xdr:col>
      <xdr:colOff>529166</xdr:colOff>
      <xdr:row>4</xdr:row>
      <xdr:rowOff>94468</xdr:rowOff>
    </xdr:to>
    <xdr:pic>
      <xdr:nvPicPr>
        <xdr:cNvPr id="38" name="Picture 37">
          <a:hlinkClick xmlns:r="http://schemas.openxmlformats.org/officeDocument/2006/relationships" r:id="rId5"/>
          <a:extLst>
            <a:ext uri="{FF2B5EF4-FFF2-40B4-BE49-F238E27FC236}">
              <a16:creationId xmlns:a16="http://schemas.microsoft.com/office/drawing/2014/main" id="{A19F5318-A215-449B-9874-6089407F7D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flipH="1">
          <a:off x="493889" y="218722"/>
          <a:ext cx="642055" cy="609524"/>
        </a:xfrm>
        <a:prstGeom prst="rect">
          <a:avLst/>
        </a:prstGeom>
      </xdr:spPr>
    </xdr:pic>
    <xdr:clientData/>
  </xdr:twoCellAnchor>
  <xdr:twoCellAnchor editAs="oneCell">
    <xdr:from>
      <xdr:col>4</xdr:col>
      <xdr:colOff>119946</xdr:colOff>
      <xdr:row>13</xdr:row>
      <xdr:rowOff>84669</xdr:rowOff>
    </xdr:from>
    <xdr:to>
      <xdr:col>4</xdr:col>
      <xdr:colOff>451557</xdr:colOff>
      <xdr:row>15</xdr:row>
      <xdr:rowOff>49391</xdr:rowOff>
    </xdr:to>
    <xdr:pic>
      <xdr:nvPicPr>
        <xdr:cNvPr id="39" name="Picture 38">
          <a:extLst>
            <a:ext uri="{FF2B5EF4-FFF2-40B4-BE49-F238E27FC236}">
              <a16:creationId xmlns:a16="http://schemas.microsoft.com/office/drawing/2014/main" id="{E19EEC5E-7507-4456-B8E9-EA26A581F06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547057" y="2469447"/>
          <a:ext cx="331611" cy="331611"/>
        </a:xfrm>
        <a:prstGeom prst="rect">
          <a:avLst/>
        </a:prstGeom>
      </xdr:spPr>
    </xdr:pic>
    <xdr:clientData/>
  </xdr:twoCellAnchor>
  <xdr:twoCellAnchor editAs="oneCell">
    <xdr:from>
      <xdr:col>1</xdr:col>
      <xdr:colOff>268110</xdr:colOff>
      <xdr:row>13</xdr:row>
      <xdr:rowOff>119944</xdr:rowOff>
    </xdr:from>
    <xdr:to>
      <xdr:col>2</xdr:col>
      <xdr:colOff>56443</xdr:colOff>
      <xdr:row>15</xdr:row>
      <xdr:rowOff>148166</xdr:rowOff>
    </xdr:to>
    <xdr:pic>
      <xdr:nvPicPr>
        <xdr:cNvPr id="40" name="Picture 39">
          <a:extLst>
            <a:ext uri="{FF2B5EF4-FFF2-40B4-BE49-F238E27FC236}">
              <a16:creationId xmlns:a16="http://schemas.microsoft.com/office/drawing/2014/main" id="{E240F466-3FA6-4B83-8CA6-1C59A39134E3}"/>
            </a:ext>
          </a:extLst>
        </xdr:cNvPr>
        <xdr:cNvPicPr>
          <a:picLocks noChangeAspect="1"/>
        </xdr:cNvPicPr>
      </xdr:nvPicPr>
      <xdr:blipFill>
        <a:blip xmlns:r="http://schemas.openxmlformats.org/officeDocument/2006/relationships" r:embed="rId8"/>
        <a:stretch>
          <a:fillRect/>
        </a:stretch>
      </xdr:blipFill>
      <xdr:spPr>
        <a:xfrm>
          <a:off x="874888" y="2504722"/>
          <a:ext cx="395111" cy="395111"/>
        </a:xfrm>
        <a:prstGeom prst="rect">
          <a:avLst/>
        </a:prstGeom>
      </xdr:spPr>
    </xdr:pic>
    <xdr:clientData/>
  </xdr:twoCellAnchor>
  <xdr:twoCellAnchor editAs="oneCell">
    <xdr:from>
      <xdr:col>1</xdr:col>
      <xdr:colOff>359839</xdr:colOff>
      <xdr:row>9</xdr:row>
      <xdr:rowOff>70555</xdr:rowOff>
    </xdr:from>
    <xdr:to>
      <xdr:col>2</xdr:col>
      <xdr:colOff>77617</xdr:colOff>
      <xdr:row>11</xdr:row>
      <xdr:rowOff>28222</xdr:rowOff>
    </xdr:to>
    <xdr:pic>
      <xdr:nvPicPr>
        <xdr:cNvPr id="41" name="Picture 40">
          <a:extLst>
            <a:ext uri="{FF2B5EF4-FFF2-40B4-BE49-F238E27FC236}">
              <a16:creationId xmlns:a16="http://schemas.microsoft.com/office/drawing/2014/main" id="{043706EF-07BE-47B9-9B42-211CD4FF4CB1}"/>
            </a:ext>
          </a:extLst>
        </xdr:cNvPr>
        <xdr:cNvPicPr>
          <a:picLocks noChangeAspect="1"/>
        </xdr:cNvPicPr>
      </xdr:nvPicPr>
      <xdr:blipFill>
        <a:blip xmlns:r="http://schemas.openxmlformats.org/officeDocument/2006/relationships" r:embed="rId9"/>
        <a:stretch>
          <a:fillRect/>
        </a:stretch>
      </xdr:blipFill>
      <xdr:spPr>
        <a:xfrm>
          <a:off x="966617" y="1721555"/>
          <a:ext cx="324556" cy="324556"/>
        </a:xfrm>
        <a:prstGeom prst="rect">
          <a:avLst/>
        </a:prstGeom>
      </xdr:spPr>
    </xdr:pic>
    <xdr:clientData/>
  </xdr:twoCellAnchor>
  <xdr:twoCellAnchor>
    <xdr:from>
      <xdr:col>1</xdr:col>
      <xdr:colOff>119948</xdr:colOff>
      <xdr:row>18</xdr:row>
      <xdr:rowOff>176389</xdr:rowOff>
    </xdr:from>
    <xdr:to>
      <xdr:col>8</xdr:col>
      <xdr:colOff>444504</xdr:colOff>
      <xdr:row>30</xdr:row>
      <xdr:rowOff>90312</xdr:rowOff>
    </xdr:to>
    <xdr:graphicFrame macro="">
      <xdr:nvGraphicFramePr>
        <xdr:cNvPr id="42" name="Chart 41">
          <a:extLst>
            <a:ext uri="{FF2B5EF4-FFF2-40B4-BE49-F238E27FC236}">
              <a16:creationId xmlns:a16="http://schemas.microsoft.com/office/drawing/2014/main" id="{9A44A6FF-A17C-4060-93D9-0CEDD9401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486833</xdr:colOff>
      <xdr:row>19</xdr:row>
      <xdr:rowOff>49390</xdr:rowOff>
    </xdr:from>
    <xdr:to>
      <xdr:col>17</xdr:col>
      <xdr:colOff>70556</xdr:colOff>
      <xdr:row>30</xdr:row>
      <xdr:rowOff>162278</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F8D0FBF5-88F5-44CC-8D0E-96E42DA278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973233" y="3548240"/>
              <a:ext cx="4460523" cy="21385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451556</xdr:colOff>
      <xdr:row>5</xdr:row>
      <xdr:rowOff>155218</xdr:rowOff>
    </xdr:from>
    <xdr:to>
      <xdr:col>13</xdr:col>
      <xdr:colOff>134056</xdr:colOff>
      <xdr:row>18</xdr:row>
      <xdr:rowOff>105833</xdr:rowOff>
    </xdr:to>
    <xdr:graphicFrame macro="">
      <xdr:nvGraphicFramePr>
        <xdr:cNvPr id="47" name="Chart 46">
          <a:extLst>
            <a:ext uri="{FF2B5EF4-FFF2-40B4-BE49-F238E27FC236}">
              <a16:creationId xmlns:a16="http://schemas.microsoft.com/office/drawing/2014/main" id="{71CD4623-F4D8-4341-A526-E734C147B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91727</xdr:colOff>
      <xdr:row>7</xdr:row>
      <xdr:rowOff>63501</xdr:rowOff>
    </xdr:from>
    <xdr:to>
      <xdr:col>17</xdr:col>
      <xdr:colOff>49389</xdr:colOff>
      <xdr:row>18</xdr:row>
      <xdr:rowOff>28217</xdr:rowOff>
    </xdr:to>
    <xdr:graphicFrame macro="">
      <xdr:nvGraphicFramePr>
        <xdr:cNvPr id="48" name="Chart 47">
          <a:extLst>
            <a:ext uri="{FF2B5EF4-FFF2-40B4-BE49-F238E27FC236}">
              <a16:creationId xmlns:a16="http://schemas.microsoft.com/office/drawing/2014/main" id="{AAF2658D-8E47-4DC8-BE95-682E9424A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xdr:col>
      <xdr:colOff>98782</xdr:colOff>
      <xdr:row>9</xdr:row>
      <xdr:rowOff>14107</xdr:rowOff>
    </xdr:from>
    <xdr:to>
      <xdr:col>4</xdr:col>
      <xdr:colOff>515061</xdr:colOff>
      <xdr:row>11</xdr:row>
      <xdr:rowOff>49389</xdr:rowOff>
    </xdr:to>
    <xdr:pic>
      <xdr:nvPicPr>
        <xdr:cNvPr id="49" name="Picture 48">
          <a:extLst>
            <a:ext uri="{FF2B5EF4-FFF2-40B4-BE49-F238E27FC236}">
              <a16:creationId xmlns:a16="http://schemas.microsoft.com/office/drawing/2014/main" id="{F862AB90-A8D4-43B6-92D3-E2B28AC4C584}"/>
            </a:ext>
          </a:extLst>
        </xdr:cNvPr>
        <xdr:cNvPicPr>
          <a:picLocks noChangeAspect="1"/>
        </xdr:cNvPicPr>
      </xdr:nvPicPr>
      <xdr:blipFill>
        <a:blip xmlns:r="http://schemas.openxmlformats.org/officeDocument/2006/relationships" r:embed="rId14"/>
        <a:stretch>
          <a:fillRect/>
        </a:stretch>
      </xdr:blipFill>
      <xdr:spPr>
        <a:xfrm>
          <a:off x="2525893" y="1665107"/>
          <a:ext cx="416279" cy="4021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8.279919444445" createdVersion="8" refreshedVersion="8" minRefreshableVersion="3" recordCount="200" xr:uid="{4BD6E0F1-EC25-4626-AEDF-0893ED37A175}">
  <cacheSource type="worksheet">
    <worksheetSource name="Dataset"/>
  </cacheSource>
  <cacheFields count="20">
    <cacheField name="EmployeeID" numFmtId="0">
      <sharedItems containsSemiMixedTypes="0" containsString="0" containsNumber="1" containsInteger="1" minValue="1" maxValue="200"/>
    </cacheField>
    <cacheField name="Name" numFmtId="0">
      <sharedItems/>
    </cacheField>
    <cacheField name="Department" numFmtId="0">
      <sharedItems count="6">
        <s v="Operations"/>
        <s v="Sales"/>
        <s v="HR"/>
        <s v="Finance"/>
        <s v="Marketing"/>
        <s v="IT"/>
      </sharedItems>
    </cacheField>
    <cacheField name="JobRole" numFmtId="0">
      <sharedItems count="15">
        <s v="Operations Analyst"/>
        <s v="Sales Executive"/>
        <s v="Recruiter"/>
        <s v="Financial Analyst"/>
        <s v="HR Specialist"/>
        <s v="Marketing Specialist"/>
        <s v="Data Analyst"/>
        <s v="Software Engineer"/>
        <s v="Content Creator"/>
        <s v="BI Developer"/>
        <s v="Account Manager"/>
        <s v="Accountant"/>
        <s v="Coordinator"/>
        <s v="DBA"/>
        <s v="HR Manager"/>
      </sharedItems>
    </cacheField>
    <cacheField name="Gender" numFmtId="0">
      <sharedItems/>
    </cacheField>
    <cacheField name="Age" numFmtId="0">
      <sharedItems containsSemiMixedTypes="0" containsString="0" containsNumber="1" containsInteger="1" minValue="22" maxValue="50"/>
    </cacheField>
    <cacheField name="HireDate" numFmtId="14">
      <sharedItems containsSemiMixedTypes="0" containsNonDate="0" containsDate="1" containsString="0" minDate="2018-01-03T00:00:00" maxDate="2025-01-02T00:00:00" count="194">
        <d v="2019-04-02T00:00:00"/>
        <d v="2024-10-01T00:00:00"/>
        <d v="2021-10-10T00:00:00"/>
        <d v="2024-12-08T00:00:00"/>
        <d v="2023-02-01T00:00:00"/>
        <d v="2019-11-01T00:00:00"/>
        <d v="2021-07-12T00:00:00"/>
        <d v="2020-06-17T00:00:00"/>
        <d v="2024-09-06T00:00:00"/>
        <d v="2020-12-14T00:00:00"/>
        <d v="2018-01-03T00:00:00"/>
        <d v="2023-12-22T00:00:00"/>
        <d v="2022-03-10T00:00:00"/>
        <d v="2018-08-30T00:00:00"/>
        <d v="2022-07-26T00:00:00"/>
        <d v="2020-10-15T00:00:00"/>
        <d v="2018-03-02T00:00:00"/>
        <d v="2021-03-14T00:00:00"/>
        <d v="2024-07-20T00:00:00"/>
        <d v="2024-09-01T00:00:00"/>
        <d v="2018-10-25T00:00:00"/>
        <d v="2024-02-04T00:00:00"/>
        <d v="2019-09-29T00:00:00"/>
        <d v="2022-10-01T00:00:00"/>
        <d v="2019-09-03T00:00:00"/>
        <d v="2021-12-19T00:00:00"/>
        <d v="2020-10-13T00:00:00"/>
        <d v="2020-03-02T00:00:00"/>
        <d v="2020-12-23T00:00:00"/>
        <d v="2024-01-15T00:00:00"/>
        <d v="2021-04-26T00:00:00"/>
        <d v="2024-10-20T00:00:00"/>
        <d v="2019-01-18T00:00:00"/>
        <d v="2024-06-15T00:00:00"/>
        <d v="2024-04-02T00:00:00"/>
        <d v="2023-01-18T00:00:00"/>
        <d v="2018-11-27T00:00:00"/>
        <d v="2018-03-22T00:00:00"/>
        <d v="2023-06-23T00:00:00"/>
        <d v="2024-08-21T00:00:00"/>
        <d v="2022-04-02T00:00:00"/>
        <d v="2020-10-09T00:00:00"/>
        <d v="2024-10-23T00:00:00"/>
        <d v="2020-09-21T00:00:00"/>
        <d v="2023-07-01T00:00:00"/>
        <d v="2024-08-23T00:00:00"/>
        <d v="2020-05-18T00:00:00"/>
        <d v="2020-09-11T00:00:00"/>
        <d v="2021-11-09T00:00:00"/>
        <d v="2020-01-29T00:00:00"/>
        <d v="2018-07-06T00:00:00"/>
        <d v="2023-05-11T00:00:00"/>
        <d v="2024-10-19T00:00:00"/>
        <d v="2019-02-11T00:00:00"/>
        <d v="2023-04-09T00:00:00"/>
        <d v="2022-07-07T00:00:00"/>
        <d v="2024-06-14T00:00:00"/>
        <d v="2019-01-09T00:00:00"/>
        <d v="2018-12-27T00:00:00"/>
        <d v="2022-12-16T00:00:00"/>
        <d v="2022-07-30T00:00:00"/>
        <d v="2019-08-16T00:00:00"/>
        <d v="2024-07-03T00:00:00"/>
        <d v="2020-09-05T00:00:00"/>
        <d v="2023-08-20T00:00:00"/>
        <d v="2021-10-18T00:00:00"/>
        <d v="2021-03-23T00:00:00"/>
        <d v="2022-03-16T00:00:00"/>
        <d v="2023-03-04T00:00:00"/>
        <d v="2022-10-04T00:00:00"/>
        <d v="2018-03-31T00:00:00"/>
        <d v="2020-02-18T00:00:00"/>
        <d v="2022-08-29T00:00:00"/>
        <d v="2022-06-16T00:00:00"/>
        <d v="2022-03-02T00:00:00"/>
        <d v="2018-06-02T00:00:00"/>
        <d v="2019-09-25T00:00:00"/>
        <d v="2022-01-09T00:00:00"/>
        <d v="2024-05-01T00:00:00"/>
        <d v="2020-10-23T00:00:00"/>
        <d v="2023-11-25T00:00:00"/>
        <d v="2018-09-07T00:00:00"/>
        <d v="2025-01-01T00:00:00"/>
        <d v="2022-10-28T00:00:00"/>
        <d v="2023-04-27T00:00:00"/>
        <d v="2022-09-29T00:00:00"/>
        <d v="2022-02-14T00:00:00"/>
        <d v="2021-12-08T00:00:00"/>
        <d v="2019-10-07T00:00:00"/>
        <d v="2022-06-07T00:00:00"/>
        <d v="2019-12-21T00:00:00"/>
        <d v="2022-09-07T00:00:00"/>
        <d v="2024-08-09T00:00:00"/>
        <d v="2021-12-02T00:00:00"/>
        <d v="2024-04-28T00:00:00"/>
        <d v="2018-10-31T00:00:00"/>
        <d v="2024-03-20T00:00:00"/>
        <d v="2023-08-29T00:00:00"/>
        <d v="2024-09-14T00:00:00"/>
        <d v="2021-12-03T00:00:00"/>
        <d v="2018-03-16T00:00:00"/>
        <d v="2023-11-27T00:00:00"/>
        <d v="2020-08-30T00:00:00"/>
        <d v="2021-02-28T00:00:00"/>
        <d v="2024-03-21T00:00:00"/>
        <d v="2021-10-05T00:00:00"/>
        <d v="2020-06-02T00:00:00"/>
        <d v="2023-02-16T00:00:00"/>
        <d v="2018-12-17T00:00:00"/>
        <d v="2021-11-13T00:00:00"/>
        <d v="2018-09-16T00:00:00"/>
        <d v="2018-05-30T00:00:00"/>
        <d v="2022-05-03T00:00:00"/>
        <d v="2024-02-13T00:00:00"/>
        <d v="2021-12-15T00:00:00"/>
        <d v="2018-05-23T00:00:00"/>
        <d v="2023-12-09T00:00:00"/>
        <d v="2020-05-28T00:00:00"/>
        <d v="2024-03-02T00:00:00"/>
        <d v="2024-03-19T00:00:00"/>
        <d v="2018-10-30T00:00:00"/>
        <d v="2023-10-24T00:00:00"/>
        <d v="2021-05-25T00:00:00"/>
        <d v="2024-06-20T00:00:00"/>
        <d v="2018-10-26T00:00:00"/>
        <d v="2022-02-26T00:00:00"/>
        <d v="2022-09-09T00:00:00"/>
        <d v="2019-01-04T00:00:00"/>
        <d v="2018-02-03T00:00:00"/>
        <d v="2021-03-28T00:00:00"/>
        <d v="2023-09-17T00:00:00"/>
        <d v="2024-11-16T00:00:00"/>
        <d v="2019-03-25T00:00:00"/>
        <d v="2019-11-30T00:00:00"/>
        <d v="2022-08-19T00:00:00"/>
        <d v="2021-07-09T00:00:00"/>
        <d v="2021-05-07T00:00:00"/>
        <d v="2021-11-14T00:00:00"/>
        <d v="2021-01-15T00:00:00"/>
        <d v="2021-09-14T00:00:00"/>
        <d v="2018-08-31T00:00:00"/>
        <d v="2021-03-31T00:00:00"/>
        <d v="2023-04-02T00:00:00"/>
        <d v="2022-07-19T00:00:00"/>
        <d v="2022-04-21T00:00:00"/>
        <d v="2023-08-21T00:00:00"/>
        <d v="2024-02-28T00:00:00"/>
        <d v="2023-09-02T00:00:00"/>
        <d v="2023-10-04T00:00:00"/>
        <d v="2018-07-05T00:00:00"/>
        <d v="2023-01-12T00:00:00"/>
        <d v="2018-04-04T00:00:00"/>
        <d v="2022-09-14T00:00:00"/>
        <d v="2020-08-17T00:00:00"/>
        <d v="2020-06-24T00:00:00"/>
        <d v="2021-05-13T00:00:00"/>
        <d v="2022-05-10T00:00:00"/>
        <d v="2020-09-20T00:00:00"/>
        <d v="2023-03-24T00:00:00"/>
        <d v="2021-12-13T00:00:00"/>
        <d v="2020-08-05T00:00:00"/>
        <d v="2022-08-12T00:00:00"/>
        <d v="2024-12-13T00:00:00"/>
        <d v="2018-05-10T00:00:00"/>
        <d v="2023-12-04T00:00:00"/>
        <d v="2018-03-06T00:00:00"/>
        <d v="2019-07-28T00:00:00"/>
        <d v="2021-08-29T00:00:00"/>
        <d v="2018-10-29T00:00:00"/>
        <d v="2018-12-24T00:00:00"/>
        <d v="2018-02-20T00:00:00"/>
        <d v="2022-11-16T00:00:00"/>
        <d v="2021-06-01T00:00:00"/>
        <d v="2023-05-17T00:00:00"/>
        <d v="2020-10-31T00:00:00"/>
        <d v="2024-01-09T00:00:00"/>
        <d v="2019-02-08T00:00:00"/>
        <d v="2021-04-25T00:00:00"/>
        <d v="2023-01-28T00:00:00"/>
        <d v="2024-04-12T00:00:00"/>
        <d v="2022-10-26T00:00:00"/>
        <d v="2020-12-10T00:00:00"/>
        <d v="2021-05-03T00:00:00"/>
        <d v="2019-07-19T00:00:00"/>
        <d v="2022-01-10T00:00:00"/>
        <d v="2018-12-05T00:00:00"/>
        <d v="2019-04-13T00:00:00"/>
        <d v="2021-11-28T00:00:00"/>
        <d v="2020-04-27T00:00:00"/>
        <d v="2019-01-26T00:00:00"/>
        <d v="2022-08-24T00:00:00"/>
        <d v="2022-01-07T00:00:00"/>
        <d v="2023-06-11T00:00:00"/>
        <d v="2019-06-25T00:00:00"/>
      </sharedItems>
      <fieldGroup par="19"/>
    </cacheField>
    <cacheField name="Salary" numFmtId="0">
      <sharedItems containsSemiMixedTypes="0" containsString="0" containsNumber="1" containsInteger="1" minValue="4154" maxValue="14980"/>
    </cacheField>
    <cacheField name="PerformanceScore" numFmtId="0">
      <sharedItems containsSemiMixedTypes="0" containsString="0" containsNumber="1" minValue="2.54" maxValue="5"/>
    </cacheField>
    <cacheField name="Performance" numFmtId="0">
      <sharedItems count="4">
        <s v="good"/>
        <s v="excelent"/>
        <s v="very good"/>
        <s v="fair"/>
      </sharedItems>
    </cacheField>
    <cacheField name="SatisfactionScore" numFmtId="0">
      <sharedItems containsSemiMixedTypes="0" containsString="0" containsNumber="1" containsInteger="1" minValue="1" maxValue="5"/>
    </cacheField>
    <cacheField name="EngagementScore" numFmtId="0">
      <sharedItems containsSemiMixedTypes="0" containsString="0" containsNumber="1" containsInteger="1" minValue="1" maxValue="5"/>
    </cacheField>
    <cacheField name="AbsenceDays" numFmtId="0">
      <sharedItems containsSemiMixedTypes="0" containsString="0" containsNumber="1" containsInteger="1" minValue="0" maxValue="20"/>
    </cacheField>
    <cacheField name="OvertimeHours" numFmtId="0">
      <sharedItems containsSemiMixedTypes="0" containsString="0" containsNumber="1" containsInteger="1" minValue="0" maxValue="60"/>
    </cacheField>
    <cacheField name="TrainingHours" numFmtId="0">
      <sharedItems containsSemiMixedTypes="0" containsString="0" containsNumber="1" containsInteger="1" minValue="0" maxValue="40"/>
    </cacheField>
    <cacheField name="TrainingCost" numFmtId="0">
      <sharedItems containsSemiMixedTypes="0" containsString="0" containsNumber="1" containsInteger="1" minValue="103" maxValue="1987"/>
    </cacheField>
    <cacheField name="Training cost 2" numFmtId="0">
      <sharedItems count="3">
        <s v="medium cost"/>
        <s v="very high cost"/>
        <s v="high cost"/>
      </sharedItems>
    </cacheField>
    <cacheField name="Months (HireDate)" numFmtId="0" databaseField="0">
      <fieldGroup base="6">
        <rangePr groupBy="months" startDate="2018-01-03T00:00:00" endDate="2025-01-02T00:00:00"/>
        <groupItems count="14">
          <s v="&lt;03/01/2018"/>
          <s v="Jan"/>
          <s v="Feb"/>
          <s v="Mar"/>
          <s v="Apr"/>
          <s v="May"/>
          <s v="Jun"/>
          <s v="Jul"/>
          <s v="Aug"/>
          <s v="Sep"/>
          <s v="Oct"/>
          <s v="Nov"/>
          <s v="Dec"/>
          <s v="&gt;02/01/2025"/>
        </groupItems>
      </fieldGroup>
    </cacheField>
    <cacheField name="Quarters (HireDate)" numFmtId="0" databaseField="0">
      <fieldGroup base="6">
        <rangePr groupBy="quarters" startDate="2018-01-03T00:00:00" endDate="2025-01-02T00:00:00"/>
        <groupItems count="6">
          <s v="&lt;03/01/2018"/>
          <s v="Qtr1"/>
          <s v="Qtr2"/>
          <s v="Qtr3"/>
          <s v="Qtr4"/>
          <s v="&gt;02/01/2025"/>
        </groupItems>
      </fieldGroup>
    </cacheField>
    <cacheField name="Years (HireDate)" numFmtId="0" databaseField="0">
      <fieldGroup base="6">
        <rangePr groupBy="years" startDate="2018-01-03T00:00:00" endDate="2025-01-02T00:00:00"/>
        <groupItems count="10">
          <s v="&lt;03/01/2018"/>
          <s v="2018"/>
          <s v="2019"/>
          <s v="2020"/>
          <s v="2021"/>
          <s v="2022"/>
          <s v="2023"/>
          <s v="2024"/>
          <s v="2025"/>
          <s v="&gt;02/01/2025"/>
        </groupItems>
      </fieldGroup>
    </cacheField>
  </cacheFields>
  <extLst>
    <ext xmlns:x14="http://schemas.microsoft.com/office/spreadsheetml/2009/9/main" uri="{725AE2AE-9491-48be-B2B4-4EB974FC3084}">
      <x14:pivotCacheDefinition pivotCacheId="162639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s v="Amr Ibrahim"/>
    <x v="0"/>
    <x v="0"/>
    <s v="Male"/>
    <n v="43"/>
    <x v="0"/>
    <n v="12935"/>
    <n v="2.72"/>
    <x v="0"/>
    <n v="4"/>
    <n v="1"/>
    <n v="0"/>
    <n v="5"/>
    <n v="13"/>
    <n v="576"/>
    <x v="0"/>
  </r>
  <r>
    <n v="2"/>
    <s v="Salma Mostafa"/>
    <x v="1"/>
    <x v="1"/>
    <s v="Female"/>
    <n v="40"/>
    <x v="1"/>
    <n v="8557"/>
    <n v="4.5199999999999996"/>
    <x v="1"/>
    <n v="1"/>
    <n v="2"/>
    <n v="13"/>
    <n v="21"/>
    <n v="17"/>
    <n v="418"/>
    <x v="0"/>
  </r>
  <r>
    <n v="3"/>
    <s v="Mostafa Khaled"/>
    <x v="2"/>
    <x v="2"/>
    <s v="Female"/>
    <n v="47"/>
    <x v="2"/>
    <n v="4711"/>
    <n v="4.32"/>
    <x v="2"/>
    <n v="5"/>
    <n v="1"/>
    <n v="12"/>
    <n v="5"/>
    <n v="35"/>
    <n v="700"/>
    <x v="0"/>
  </r>
  <r>
    <n v="4"/>
    <s v="Mona Nabil"/>
    <x v="0"/>
    <x v="0"/>
    <s v="Male"/>
    <n v="23"/>
    <x v="3"/>
    <n v="14834"/>
    <n v="3.07"/>
    <x v="0"/>
    <n v="3"/>
    <n v="1"/>
    <n v="7"/>
    <n v="55"/>
    <n v="6"/>
    <n v="878"/>
    <x v="0"/>
  </r>
  <r>
    <n v="5"/>
    <s v="Mona Ali"/>
    <x v="3"/>
    <x v="3"/>
    <s v="Female"/>
    <n v="28"/>
    <x v="4"/>
    <n v="14980"/>
    <n v="3.17"/>
    <x v="0"/>
    <n v="1"/>
    <n v="5"/>
    <n v="20"/>
    <n v="10"/>
    <n v="34"/>
    <n v="1593"/>
    <x v="1"/>
  </r>
  <r>
    <n v="6"/>
    <s v="Hassan Fathy"/>
    <x v="2"/>
    <x v="4"/>
    <s v="Female"/>
    <n v="48"/>
    <x v="5"/>
    <n v="4916"/>
    <n v="3.07"/>
    <x v="0"/>
    <n v="1"/>
    <n v="3"/>
    <n v="12"/>
    <n v="17"/>
    <n v="4"/>
    <n v="532"/>
    <x v="0"/>
  </r>
  <r>
    <n v="7"/>
    <s v="Nour Sayed"/>
    <x v="1"/>
    <x v="1"/>
    <s v="Female"/>
    <n v="26"/>
    <x v="6"/>
    <n v="8040"/>
    <n v="4.3600000000000003"/>
    <x v="2"/>
    <n v="5"/>
    <n v="3"/>
    <n v="18"/>
    <n v="27"/>
    <n v="37"/>
    <n v="917"/>
    <x v="0"/>
  </r>
  <r>
    <n v="8"/>
    <s v="Omar Fathy"/>
    <x v="3"/>
    <x v="3"/>
    <s v="Male"/>
    <n v="46"/>
    <x v="7"/>
    <n v="4771"/>
    <n v="4.6500000000000004"/>
    <x v="1"/>
    <n v="2"/>
    <n v="2"/>
    <n v="13"/>
    <n v="38"/>
    <n v="4"/>
    <n v="888"/>
    <x v="0"/>
  </r>
  <r>
    <n v="9"/>
    <s v="Fatma Youssef"/>
    <x v="4"/>
    <x v="5"/>
    <s v="Male"/>
    <n v="43"/>
    <x v="8"/>
    <n v="12797"/>
    <n v="4.38"/>
    <x v="2"/>
    <n v="3"/>
    <n v="1"/>
    <n v="9"/>
    <n v="27"/>
    <n v="10"/>
    <n v="1029"/>
    <x v="2"/>
  </r>
  <r>
    <n v="10"/>
    <s v="Youssef Fathy"/>
    <x v="5"/>
    <x v="6"/>
    <s v="Female"/>
    <n v="48"/>
    <x v="9"/>
    <n v="14468"/>
    <n v="3.77"/>
    <x v="2"/>
    <n v="2"/>
    <n v="2"/>
    <n v="11"/>
    <n v="48"/>
    <n v="10"/>
    <n v="1204"/>
    <x v="2"/>
  </r>
  <r>
    <n v="11"/>
    <s v="Dina Hassan"/>
    <x v="1"/>
    <x v="1"/>
    <s v="Female"/>
    <n v="50"/>
    <x v="10"/>
    <n v="9038"/>
    <n v="3.1"/>
    <x v="0"/>
    <n v="2"/>
    <n v="5"/>
    <n v="2"/>
    <n v="5"/>
    <n v="31"/>
    <n v="1771"/>
    <x v="1"/>
  </r>
  <r>
    <n v="12"/>
    <s v="Omar Sayed"/>
    <x v="5"/>
    <x v="7"/>
    <s v="Female"/>
    <n v="38"/>
    <x v="11"/>
    <n v="13938"/>
    <n v="3.56"/>
    <x v="2"/>
    <n v="2"/>
    <n v="5"/>
    <n v="6"/>
    <n v="45"/>
    <n v="19"/>
    <n v="917"/>
    <x v="0"/>
  </r>
  <r>
    <n v="13"/>
    <s v="Fatma Sayed"/>
    <x v="0"/>
    <x v="0"/>
    <s v="Male"/>
    <n v="29"/>
    <x v="12"/>
    <n v="5049"/>
    <n v="3.35"/>
    <x v="0"/>
    <n v="5"/>
    <n v="5"/>
    <n v="7"/>
    <n v="37"/>
    <n v="14"/>
    <n v="114"/>
    <x v="0"/>
  </r>
  <r>
    <n v="14"/>
    <s v="Sara Mahmoud"/>
    <x v="5"/>
    <x v="7"/>
    <s v="Female"/>
    <n v="43"/>
    <x v="13"/>
    <n v="11953"/>
    <n v="3.04"/>
    <x v="0"/>
    <n v="2"/>
    <n v="5"/>
    <n v="18"/>
    <n v="30"/>
    <n v="15"/>
    <n v="1706"/>
    <x v="1"/>
  </r>
  <r>
    <n v="15"/>
    <s v="Aya Khaled"/>
    <x v="4"/>
    <x v="8"/>
    <s v="Female"/>
    <n v="36"/>
    <x v="14"/>
    <n v="4887"/>
    <n v="4.18"/>
    <x v="2"/>
    <n v="1"/>
    <n v="1"/>
    <n v="12"/>
    <n v="46"/>
    <n v="21"/>
    <n v="1739"/>
    <x v="1"/>
  </r>
  <r>
    <n v="16"/>
    <s v="Heba Ali"/>
    <x v="5"/>
    <x v="9"/>
    <s v="Male"/>
    <n v="30"/>
    <x v="15"/>
    <n v="11579"/>
    <n v="3.12"/>
    <x v="0"/>
    <n v="1"/>
    <n v="4"/>
    <n v="17"/>
    <n v="6"/>
    <n v="3"/>
    <n v="1435"/>
    <x v="2"/>
  </r>
  <r>
    <n v="17"/>
    <s v="Amr Ali"/>
    <x v="1"/>
    <x v="10"/>
    <s v="Female"/>
    <n v="37"/>
    <x v="16"/>
    <n v="7502"/>
    <n v="4.66"/>
    <x v="1"/>
    <n v="1"/>
    <n v="2"/>
    <n v="12"/>
    <n v="0"/>
    <n v="24"/>
    <n v="643"/>
    <x v="0"/>
  </r>
  <r>
    <n v="18"/>
    <s v="Salma Sayed"/>
    <x v="4"/>
    <x v="5"/>
    <s v="Male"/>
    <n v="31"/>
    <x v="17"/>
    <n v="7566"/>
    <n v="4.92"/>
    <x v="1"/>
    <n v="5"/>
    <n v="5"/>
    <n v="1"/>
    <n v="47"/>
    <n v="20"/>
    <n v="217"/>
    <x v="0"/>
  </r>
  <r>
    <n v="19"/>
    <s v="Fatma Ali"/>
    <x v="5"/>
    <x v="6"/>
    <s v="Male"/>
    <n v="49"/>
    <x v="18"/>
    <n v="7044"/>
    <n v="2.67"/>
    <x v="3"/>
    <n v="1"/>
    <n v="2"/>
    <n v="12"/>
    <n v="7"/>
    <n v="36"/>
    <n v="604"/>
    <x v="0"/>
  </r>
  <r>
    <n v="20"/>
    <s v="Aya Nabil"/>
    <x v="1"/>
    <x v="10"/>
    <s v="Female"/>
    <n v="28"/>
    <x v="19"/>
    <n v="14972"/>
    <n v="4.29"/>
    <x v="2"/>
    <n v="2"/>
    <n v="3"/>
    <n v="12"/>
    <n v="8"/>
    <n v="19"/>
    <n v="1036"/>
    <x v="2"/>
  </r>
  <r>
    <n v="21"/>
    <s v="Rania Mahmoud"/>
    <x v="3"/>
    <x v="11"/>
    <s v="Male"/>
    <n v="38"/>
    <x v="20"/>
    <n v="8345"/>
    <n v="2.83"/>
    <x v="0"/>
    <n v="3"/>
    <n v="1"/>
    <n v="7"/>
    <n v="23"/>
    <n v="18"/>
    <n v="423"/>
    <x v="0"/>
  </r>
  <r>
    <n v="22"/>
    <s v="Hala Fathy"/>
    <x v="4"/>
    <x v="5"/>
    <s v="Female"/>
    <n v="43"/>
    <x v="21"/>
    <n v="5697"/>
    <n v="4.8499999999999996"/>
    <x v="1"/>
    <n v="2"/>
    <n v="3"/>
    <n v="3"/>
    <n v="56"/>
    <n v="6"/>
    <n v="1620"/>
    <x v="1"/>
  </r>
  <r>
    <n v="23"/>
    <s v="Hala Ibrahim"/>
    <x v="1"/>
    <x v="10"/>
    <s v="Male"/>
    <n v="43"/>
    <x v="22"/>
    <n v="14391"/>
    <n v="4.63"/>
    <x v="1"/>
    <n v="5"/>
    <n v="4"/>
    <n v="8"/>
    <n v="57"/>
    <n v="3"/>
    <n v="289"/>
    <x v="0"/>
  </r>
  <r>
    <n v="24"/>
    <s v="Mohamed Hassan"/>
    <x v="0"/>
    <x v="12"/>
    <s v="Male"/>
    <n v="42"/>
    <x v="23"/>
    <n v="8291"/>
    <n v="2.9"/>
    <x v="0"/>
    <n v="4"/>
    <n v="5"/>
    <n v="13"/>
    <n v="35"/>
    <n v="0"/>
    <n v="329"/>
    <x v="0"/>
  </r>
  <r>
    <n v="25"/>
    <s v="Mona Nabil"/>
    <x v="5"/>
    <x v="7"/>
    <s v="Female"/>
    <n v="26"/>
    <x v="24"/>
    <n v="4685"/>
    <n v="3.27"/>
    <x v="0"/>
    <n v="1"/>
    <n v="3"/>
    <n v="6"/>
    <n v="43"/>
    <n v="15"/>
    <n v="1465"/>
    <x v="2"/>
  </r>
  <r>
    <n v="26"/>
    <s v="Aya Nabil"/>
    <x v="5"/>
    <x v="7"/>
    <s v="Male"/>
    <n v="49"/>
    <x v="25"/>
    <n v="6662"/>
    <n v="4.9400000000000004"/>
    <x v="1"/>
    <n v="2"/>
    <n v="4"/>
    <n v="0"/>
    <n v="11"/>
    <n v="21"/>
    <n v="1702"/>
    <x v="1"/>
  </r>
  <r>
    <n v="27"/>
    <s v="Mostafa Mostafa"/>
    <x v="4"/>
    <x v="5"/>
    <s v="Female"/>
    <n v="29"/>
    <x v="26"/>
    <n v="7269"/>
    <n v="4.54"/>
    <x v="1"/>
    <n v="4"/>
    <n v="3"/>
    <n v="9"/>
    <n v="52"/>
    <n v="14"/>
    <n v="556"/>
    <x v="0"/>
  </r>
  <r>
    <n v="28"/>
    <s v="Hassan Mahmoud"/>
    <x v="5"/>
    <x v="13"/>
    <s v="Female"/>
    <n v="42"/>
    <x v="27"/>
    <n v="12346"/>
    <n v="3.5"/>
    <x v="0"/>
    <n v="5"/>
    <n v="3"/>
    <n v="0"/>
    <n v="7"/>
    <n v="16"/>
    <n v="465"/>
    <x v="0"/>
  </r>
  <r>
    <n v="29"/>
    <s v="Aya Khaled"/>
    <x v="1"/>
    <x v="10"/>
    <s v="Female"/>
    <n v="41"/>
    <x v="28"/>
    <n v="12379"/>
    <n v="2.79"/>
    <x v="0"/>
    <n v="5"/>
    <n v="2"/>
    <n v="8"/>
    <n v="2"/>
    <n v="27"/>
    <n v="103"/>
    <x v="0"/>
  </r>
  <r>
    <n v="30"/>
    <s v="Karim Khaled"/>
    <x v="1"/>
    <x v="10"/>
    <s v="Male"/>
    <n v="43"/>
    <x v="29"/>
    <n v="9409"/>
    <n v="4.0599999999999996"/>
    <x v="2"/>
    <n v="1"/>
    <n v="3"/>
    <n v="16"/>
    <n v="19"/>
    <n v="26"/>
    <n v="768"/>
    <x v="0"/>
  </r>
  <r>
    <n v="31"/>
    <s v="Karim Mostafa"/>
    <x v="4"/>
    <x v="8"/>
    <s v="Male"/>
    <n v="41"/>
    <x v="30"/>
    <n v="13324"/>
    <n v="3.25"/>
    <x v="0"/>
    <n v="5"/>
    <n v="1"/>
    <n v="9"/>
    <n v="18"/>
    <n v="13"/>
    <n v="980"/>
    <x v="0"/>
  </r>
  <r>
    <n v="32"/>
    <s v="Heba Sayed"/>
    <x v="1"/>
    <x v="10"/>
    <s v="Male"/>
    <n v="38"/>
    <x v="31"/>
    <n v="11752"/>
    <n v="4.4800000000000004"/>
    <x v="2"/>
    <n v="2"/>
    <n v="1"/>
    <n v="9"/>
    <n v="32"/>
    <n v="40"/>
    <n v="1368"/>
    <x v="2"/>
  </r>
  <r>
    <n v="33"/>
    <s v="Amr Youssef"/>
    <x v="3"/>
    <x v="11"/>
    <s v="Male"/>
    <n v="26"/>
    <x v="32"/>
    <n v="4400"/>
    <n v="2.62"/>
    <x v="3"/>
    <n v="4"/>
    <n v="5"/>
    <n v="2"/>
    <n v="29"/>
    <n v="26"/>
    <n v="1914"/>
    <x v="1"/>
  </r>
  <r>
    <n v="34"/>
    <s v="Nour Sayed"/>
    <x v="0"/>
    <x v="12"/>
    <s v="Male"/>
    <n v="26"/>
    <x v="33"/>
    <n v="14748"/>
    <n v="4.22"/>
    <x v="2"/>
    <n v="1"/>
    <n v="4"/>
    <n v="7"/>
    <n v="11"/>
    <n v="33"/>
    <n v="1051"/>
    <x v="2"/>
  </r>
  <r>
    <n v="35"/>
    <s v="Heba Ali"/>
    <x v="5"/>
    <x v="9"/>
    <s v="Female"/>
    <n v="46"/>
    <x v="34"/>
    <n v="11251"/>
    <n v="4.03"/>
    <x v="2"/>
    <n v="5"/>
    <n v="4"/>
    <n v="17"/>
    <n v="28"/>
    <n v="10"/>
    <n v="1623"/>
    <x v="1"/>
  </r>
  <r>
    <n v="36"/>
    <s v="Amr Youssef"/>
    <x v="4"/>
    <x v="8"/>
    <s v="Male"/>
    <n v="30"/>
    <x v="35"/>
    <n v="11206"/>
    <n v="2.69"/>
    <x v="3"/>
    <n v="3"/>
    <n v="2"/>
    <n v="8"/>
    <n v="21"/>
    <n v="20"/>
    <n v="1928"/>
    <x v="1"/>
  </r>
  <r>
    <n v="37"/>
    <s v="Nour Ali"/>
    <x v="1"/>
    <x v="1"/>
    <s v="Male"/>
    <n v="35"/>
    <x v="36"/>
    <n v="10678"/>
    <n v="3.33"/>
    <x v="0"/>
    <n v="4"/>
    <n v="4"/>
    <n v="1"/>
    <n v="13"/>
    <n v="26"/>
    <n v="897"/>
    <x v="0"/>
  </r>
  <r>
    <n v="38"/>
    <s v="Rania Mostafa"/>
    <x v="1"/>
    <x v="10"/>
    <s v="Male"/>
    <n v="33"/>
    <x v="37"/>
    <n v="8892"/>
    <n v="4.38"/>
    <x v="2"/>
    <n v="4"/>
    <n v="5"/>
    <n v="17"/>
    <n v="51"/>
    <n v="38"/>
    <n v="1938"/>
    <x v="1"/>
  </r>
  <r>
    <n v="39"/>
    <s v="Dina Hassan"/>
    <x v="2"/>
    <x v="2"/>
    <s v="Female"/>
    <n v="43"/>
    <x v="38"/>
    <n v="10624"/>
    <n v="4.3099999999999996"/>
    <x v="2"/>
    <n v="4"/>
    <n v="2"/>
    <n v="19"/>
    <n v="34"/>
    <n v="1"/>
    <n v="1957"/>
    <x v="1"/>
  </r>
  <r>
    <n v="40"/>
    <s v="Ahmed Mahmoud"/>
    <x v="4"/>
    <x v="8"/>
    <s v="Male"/>
    <n v="49"/>
    <x v="39"/>
    <n v="11564"/>
    <n v="2.95"/>
    <x v="0"/>
    <n v="3"/>
    <n v="4"/>
    <n v="10"/>
    <n v="13"/>
    <n v="29"/>
    <n v="769"/>
    <x v="0"/>
  </r>
  <r>
    <n v="41"/>
    <s v="Aya Youssef"/>
    <x v="3"/>
    <x v="11"/>
    <s v="Female"/>
    <n v="22"/>
    <x v="40"/>
    <n v="12837"/>
    <n v="2.63"/>
    <x v="3"/>
    <n v="3"/>
    <n v="2"/>
    <n v="20"/>
    <n v="4"/>
    <n v="2"/>
    <n v="1644"/>
    <x v="1"/>
  </r>
  <r>
    <n v="42"/>
    <s v="Hala Ali"/>
    <x v="5"/>
    <x v="7"/>
    <s v="Male"/>
    <n v="37"/>
    <x v="41"/>
    <n v="14968"/>
    <n v="2.79"/>
    <x v="0"/>
    <n v="2"/>
    <n v="4"/>
    <n v="8"/>
    <n v="49"/>
    <n v="23"/>
    <n v="443"/>
    <x v="0"/>
  </r>
  <r>
    <n v="43"/>
    <s v="Mostafa Ali"/>
    <x v="1"/>
    <x v="10"/>
    <s v="Male"/>
    <n v="40"/>
    <x v="42"/>
    <n v="4420"/>
    <n v="4.82"/>
    <x v="1"/>
    <n v="5"/>
    <n v="4"/>
    <n v="12"/>
    <n v="60"/>
    <n v="12"/>
    <n v="255"/>
    <x v="0"/>
  </r>
  <r>
    <n v="44"/>
    <s v="Hala Mahmoud"/>
    <x v="1"/>
    <x v="1"/>
    <s v="Female"/>
    <n v="39"/>
    <x v="43"/>
    <n v="11018"/>
    <n v="4.1500000000000004"/>
    <x v="2"/>
    <n v="1"/>
    <n v="5"/>
    <n v="20"/>
    <n v="21"/>
    <n v="0"/>
    <n v="1839"/>
    <x v="1"/>
  </r>
  <r>
    <n v="45"/>
    <s v="Heba Ali"/>
    <x v="4"/>
    <x v="8"/>
    <s v="Male"/>
    <n v="45"/>
    <x v="44"/>
    <n v="12548"/>
    <n v="4.91"/>
    <x v="1"/>
    <n v="3"/>
    <n v="5"/>
    <n v="17"/>
    <n v="49"/>
    <n v="30"/>
    <n v="1052"/>
    <x v="2"/>
  </r>
  <r>
    <n v="46"/>
    <s v="Amr Mahmoud"/>
    <x v="4"/>
    <x v="8"/>
    <s v="Female"/>
    <n v="29"/>
    <x v="45"/>
    <n v="11613"/>
    <n v="3.92"/>
    <x v="2"/>
    <n v="4"/>
    <n v="3"/>
    <n v="0"/>
    <n v="31"/>
    <n v="20"/>
    <n v="472"/>
    <x v="0"/>
  </r>
  <r>
    <n v="47"/>
    <s v="Hassan Khaled"/>
    <x v="4"/>
    <x v="8"/>
    <s v="Female"/>
    <n v="39"/>
    <x v="46"/>
    <n v="4166"/>
    <n v="3.79"/>
    <x v="2"/>
    <n v="2"/>
    <n v="1"/>
    <n v="7"/>
    <n v="46"/>
    <n v="26"/>
    <n v="1100"/>
    <x v="2"/>
  </r>
  <r>
    <n v="48"/>
    <s v="Dina Sayed"/>
    <x v="1"/>
    <x v="1"/>
    <s v="Male"/>
    <n v="31"/>
    <x v="47"/>
    <n v="7630"/>
    <n v="3.51"/>
    <x v="2"/>
    <n v="2"/>
    <n v="3"/>
    <n v="18"/>
    <n v="23"/>
    <n v="30"/>
    <n v="1233"/>
    <x v="2"/>
  </r>
  <r>
    <n v="49"/>
    <s v="Salma Khaled"/>
    <x v="1"/>
    <x v="10"/>
    <s v="Female"/>
    <n v="30"/>
    <x v="48"/>
    <n v="9023"/>
    <n v="3.13"/>
    <x v="0"/>
    <n v="1"/>
    <n v="2"/>
    <n v="10"/>
    <n v="7"/>
    <n v="34"/>
    <n v="1660"/>
    <x v="1"/>
  </r>
  <r>
    <n v="50"/>
    <s v="Hassan Nabil"/>
    <x v="0"/>
    <x v="12"/>
    <s v="Male"/>
    <n v="48"/>
    <x v="49"/>
    <n v="7180"/>
    <n v="3.24"/>
    <x v="0"/>
    <n v="3"/>
    <n v="2"/>
    <n v="9"/>
    <n v="0"/>
    <n v="34"/>
    <n v="359"/>
    <x v="0"/>
  </r>
  <r>
    <n v="51"/>
    <s v="Salma Youssef"/>
    <x v="3"/>
    <x v="11"/>
    <s v="Female"/>
    <n v="25"/>
    <x v="50"/>
    <n v="4200"/>
    <n v="3.94"/>
    <x v="2"/>
    <n v="4"/>
    <n v="4"/>
    <n v="14"/>
    <n v="21"/>
    <n v="11"/>
    <n v="205"/>
    <x v="0"/>
  </r>
  <r>
    <n v="52"/>
    <s v="Nour Sayed"/>
    <x v="3"/>
    <x v="11"/>
    <s v="Male"/>
    <n v="26"/>
    <x v="51"/>
    <n v="6444"/>
    <n v="4.53"/>
    <x v="1"/>
    <n v="3"/>
    <n v="1"/>
    <n v="7"/>
    <n v="7"/>
    <n v="35"/>
    <n v="1665"/>
    <x v="1"/>
  </r>
  <r>
    <n v="53"/>
    <s v="Hala Ibrahim"/>
    <x v="4"/>
    <x v="8"/>
    <s v="Female"/>
    <n v="36"/>
    <x v="52"/>
    <n v="8871"/>
    <n v="4.6500000000000004"/>
    <x v="1"/>
    <n v="4"/>
    <n v="3"/>
    <n v="18"/>
    <n v="39"/>
    <n v="3"/>
    <n v="1348"/>
    <x v="2"/>
  </r>
  <r>
    <n v="54"/>
    <s v="Karim Ibrahim"/>
    <x v="0"/>
    <x v="12"/>
    <s v="Male"/>
    <n v="27"/>
    <x v="53"/>
    <n v="7929"/>
    <n v="2.93"/>
    <x v="0"/>
    <n v="1"/>
    <n v="2"/>
    <n v="0"/>
    <n v="26"/>
    <n v="28"/>
    <n v="1511"/>
    <x v="1"/>
  </r>
  <r>
    <n v="55"/>
    <s v="Amr Youssef"/>
    <x v="1"/>
    <x v="10"/>
    <s v="Female"/>
    <n v="24"/>
    <x v="54"/>
    <n v="7824"/>
    <n v="4.8099999999999996"/>
    <x v="1"/>
    <n v="5"/>
    <n v="2"/>
    <n v="13"/>
    <n v="7"/>
    <n v="34"/>
    <n v="560"/>
    <x v="0"/>
  </r>
  <r>
    <n v="56"/>
    <s v="Omar Mahmoud"/>
    <x v="0"/>
    <x v="0"/>
    <s v="Male"/>
    <n v="47"/>
    <x v="24"/>
    <n v="9039"/>
    <n v="3.99"/>
    <x v="2"/>
    <n v="5"/>
    <n v="3"/>
    <n v="14"/>
    <n v="7"/>
    <n v="29"/>
    <n v="1510"/>
    <x v="1"/>
  </r>
  <r>
    <n v="57"/>
    <s v="Fatma Fathy"/>
    <x v="3"/>
    <x v="3"/>
    <s v="Female"/>
    <n v="24"/>
    <x v="55"/>
    <n v="13798"/>
    <n v="2.6"/>
    <x v="3"/>
    <n v="4"/>
    <n v="3"/>
    <n v="19"/>
    <n v="16"/>
    <n v="1"/>
    <n v="287"/>
    <x v="0"/>
  </r>
  <r>
    <n v="58"/>
    <s v="Ahmed Youssef"/>
    <x v="2"/>
    <x v="14"/>
    <s v="Male"/>
    <n v="46"/>
    <x v="56"/>
    <n v="6870"/>
    <n v="3.68"/>
    <x v="2"/>
    <n v="4"/>
    <n v="3"/>
    <n v="5"/>
    <n v="37"/>
    <n v="27"/>
    <n v="1400"/>
    <x v="2"/>
  </r>
  <r>
    <n v="59"/>
    <s v="Aya Khaled"/>
    <x v="4"/>
    <x v="8"/>
    <s v="Male"/>
    <n v="49"/>
    <x v="57"/>
    <n v="6634"/>
    <n v="3.32"/>
    <x v="0"/>
    <n v="4"/>
    <n v="3"/>
    <n v="12"/>
    <n v="52"/>
    <n v="35"/>
    <n v="175"/>
    <x v="0"/>
  </r>
  <r>
    <n v="60"/>
    <s v="Sara Mahmoud"/>
    <x v="4"/>
    <x v="8"/>
    <s v="Male"/>
    <n v="43"/>
    <x v="58"/>
    <n v="12889"/>
    <n v="3.65"/>
    <x v="2"/>
    <n v="1"/>
    <n v="2"/>
    <n v="16"/>
    <n v="23"/>
    <n v="39"/>
    <n v="1649"/>
    <x v="1"/>
  </r>
  <r>
    <n v="61"/>
    <s v="Karim Youssef"/>
    <x v="4"/>
    <x v="5"/>
    <s v="Female"/>
    <n v="36"/>
    <x v="59"/>
    <n v="11941"/>
    <n v="2.8"/>
    <x v="0"/>
    <n v="5"/>
    <n v="2"/>
    <n v="5"/>
    <n v="19"/>
    <n v="35"/>
    <n v="128"/>
    <x v="0"/>
  </r>
  <r>
    <n v="62"/>
    <s v="Heba Mahmoud"/>
    <x v="1"/>
    <x v="1"/>
    <s v="Female"/>
    <n v="44"/>
    <x v="60"/>
    <n v="8781"/>
    <n v="3.77"/>
    <x v="2"/>
    <n v="3"/>
    <n v="4"/>
    <n v="15"/>
    <n v="30"/>
    <n v="15"/>
    <n v="1035"/>
    <x v="2"/>
  </r>
  <r>
    <n v="63"/>
    <s v="Hala Fathy"/>
    <x v="1"/>
    <x v="1"/>
    <s v="Male"/>
    <n v="30"/>
    <x v="61"/>
    <n v="10798"/>
    <n v="3.35"/>
    <x v="0"/>
    <n v="5"/>
    <n v="3"/>
    <n v="0"/>
    <n v="18"/>
    <n v="19"/>
    <n v="1815"/>
    <x v="1"/>
  </r>
  <r>
    <n v="64"/>
    <s v="Dina Ali"/>
    <x v="1"/>
    <x v="10"/>
    <s v="Female"/>
    <n v="33"/>
    <x v="62"/>
    <n v="9446"/>
    <n v="3.88"/>
    <x v="2"/>
    <n v="5"/>
    <n v="4"/>
    <n v="14"/>
    <n v="59"/>
    <n v="20"/>
    <n v="1880"/>
    <x v="1"/>
  </r>
  <r>
    <n v="65"/>
    <s v="Amr Mostafa"/>
    <x v="2"/>
    <x v="4"/>
    <s v="Female"/>
    <n v="45"/>
    <x v="63"/>
    <n v="11749"/>
    <n v="4.26"/>
    <x v="2"/>
    <n v="4"/>
    <n v="4"/>
    <n v="20"/>
    <n v="9"/>
    <n v="31"/>
    <n v="175"/>
    <x v="0"/>
  </r>
  <r>
    <n v="66"/>
    <s v="Sara Mahmoud"/>
    <x v="2"/>
    <x v="2"/>
    <s v="Male"/>
    <n v="38"/>
    <x v="64"/>
    <n v="11486"/>
    <n v="2.54"/>
    <x v="3"/>
    <n v="2"/>
    <n v="4"/>
    <n v="20"/>
    <n v="9"/>
    <n v="4"/>
    <n v="1061"/>
    <x v="2"/>
  </r>
  <r>
    <n v="67"/>
    <s v="Nour Mahmoud"/>
    <x v="3"/>
    <x v="3"/>
    <s v="Female"/>
    <n v="32"/>
    <x v="65"/>
    <n v="14269"/>
    <n v="4.3"/>
    <x v="2"/>
    <n v="4"/>
    <n v="5"/>
    <n v="1"/>
    <n v="39"/>
    <n v="4"/>
    <n v="580"/>
    <x v="0"/>
  </r>
  <r>
    <n v="68"/>
    <s v="Mahmoud Mostafa"/>
    <x v="0"/>
    <x v="0"/>
    <s v="Male"/>
    <n v="36"/>
    <x v="66"/>
    <n v="6725"/>
    <n v="4.24"/>
    <x v="2"/>
    <n v="1"/>
    <n v="1"/>
    <n v="10"/>
    <n v="50"/>
    <n v="3"/>
    <n v="700"/>
    <x v="0"/>
  </r>
  <r>
    <n v="69"/>
    <s v="Amr Fathy"/>
    <x v="3"/>
    <x v="3"/>
    <s v="Male"/>
    <n v="27"/>
    <x v="67"/>
    <n v="6868"/>
    <n v="2.7"/>
    <x v="3"/>
    <n v="4"/>
    <n v="5"/>
    <n v="7"/>
    <n v="31"/>
    <n v="37"/>
    <n v="393"/>
    <x v="0"/>
  </r>
  <r>
    <n v="70"/>
    <s v="Heba Youssef"/>
    <x v="2"/>
    <x v="14"/>
    <s v="Male"/>
    <n v="50"/>
    <x v="68"/>
    <n v="11622"/>
    <n v="4.75"/>
    <x v="1"/>
    <n v="5"/>
    <n v="2"/>
    <n v="2"/>
    <n v="28"/>
    <n v="22"/>
    <n v="1303"/>
    <x v="2"/>
  </r>
  <r>
    <n v="71"/>
    <s v="Heba Youssef"/>
    <x v="3"/>
    <x v="11"/>
    <s v="Female"/>
    <n v="49"/>
    <x v="69"/>
    <n v="11916"/>
    <n v="2.77"/>
    <x v="0"/>
    <n v="4"/>
    <n v="5"/>
    <n v="11"/>
    <n v="36"/>
    <n v="18"/>
    <n v="1532"/>
    <x v="1"/>
  </r>
  <r>
    <n v="72"/>
    <s v="Nour Youssef"/>
    <x v="3"/>
    <x v="11"/>
    <s v="Male"/>
    <n v="41"/>
    <x v="70"/>
    <n v="12138"/>
    <n v="4.58"/>
    <x v="1"/>
    <n v="3"/>
    <n v="2"/>
    <n v="19"/>
    <n v="51"/>
    <n v="22"/>
    <n v="548"/>
    <x v="0"/>
  </r>
  <r>
    <n v="73"/>
    <s v="Omar Mahmoud"/>
    <x v="0"/>
    <x v="0"/>
    <s v="Female"/>
    <n v="47"/>
    <x v="71"/>
    <n v="11222"/>
    <n v="2.58"/>
    <x v="3"/>
    <n v="3"/>
    <n v="2"/>
    <n v="2"/>
    <n v="58"/>
    <n v="18"/>
    <n v="769"/>
    <x v="0"/>
  </r>
  <r>
    <n v="74"/>
    <s v="Salma Khaled"/>
    <x v="0"/>
    <x v="12"/>
    <s v="Male"/>
    <n v="30"/>
    <x v="72"/>
    <n v="11894"/>
    <n v="4.92"/>
    <x v="1"/>
    <n v="3"/>
    <n v="3"/>
    <n v="3"/>
    <n v="29"/>
    <n v="4"/>
    <n v="388"/>
    <x v="0"/>
  </r>
  <r>
    <n v="75"/>
    <s v="Salma Khaled"/>
    <x v="2"/>
    <x v="4"/>
    <s v="Female"/>
    <n v="22"/>
    <x v="73"/>
    <n v="8332"/>
    <n v="3.84"/>
    <x v="2"/>
    <n v="4"/>
    <n v="3"/>
    <n v="8"/>
    <n v="37"/>
    <n v="24"/>
    <n v="1784"/>
    <x v="1"/>
  </r>
  <r>
    <n v="76"/>
    <s v="Dina Hassan"/>
    <x v="0"/>
    <x v="12"/>
    <s v="Male"/>
    <n v="42"/>
    <x v="74"/>
    <n v="5035"/>
    <n v="4.09"/>
    <x v="2"/>
    <n v="4"/>
    <n v="3"/>
    <n v="20"/>
    <n v="26"/>
    <n v="7"/>
    <n v="386"/>
    <x v="0"/>
  </r>
  <r>
    <n v="77"/>
    <s v="Dina Mahmoud"/>
    <x v="5"/>
    <x v="6"/>
    <s v="Male"/>
    <n v="50"/>
    <x v="75"/>
    <n v="12807"/>
    <n v="2.84"/>
    <x v="0"/>
    <n v="4"/>
    <n v="3"/>
    <n v="17"/>
    <n v="26"/>
    <n v="37"/>
    <n v="1620"/>
    <x v="1"/>
  </r>
  <r>
    <n v="78"/>
    <s v="Mostafa Sayed"/>
    <x v="0"/>
    <x v="12"/>
    <s v="Female"/>
    <n v="23"/>
    <x v="76"/>
    <n v="10070"/>
    <n v="3.04"/>
    <x v="0"/>
    <n v="4"/>
    <n v="2"/>
    <n v="11"/>
    <n v="6"/>
    <n v="23"/>
    <n v="1215"/>
    <x v="2"/>
  </r>
  <r>
    <n v="79"/>
    <s v="Karim Mahmoud"/>
    <x v="0"/>
    <x v="12"/>
    <s v="Male"/>
    <n v="43"/>
    <x v="77"/>
    <n v="7475"/>
    <n v="4.0999999999999996"/>
    <x v="2"/>
    <n v="5"/>
    <n v="1"/>
    <n v="1"/>
    <n v="50"/>
    <n v="21"/>
    <n v="598"/>
    <x v="0"/>
  </r>
  <r>
    <n v="80"/>
    <s v="Karim Nabil"/>
    <x v="2"/>
    <x v="4"/>
    <s v="Male"/>
    <n v="32"/>
    <x v="78"/>
    <n v="6417"/>
    <n v="4.47"/>
    <x v="2"/>
    <n v="5"/>
    <n v="1"/>
    <n v="8"/>
    <n v="54"/>
    <n v="9"/>
    <n v="366"/>
    <x v="0"/>
  </r>
  <r>
    <n v="81"/>
    <s v="Mostafa Hassan"/>
    <x v="1"/>
    <x v="1"/>
    <s v="Male"/>
    <n v="33"/>
    <x v="79"/>
    <n v="7898"/>
    <n v="3.97"/>
    <x v="2"/>
    <n v="1"/>
    <n v="2"/>
    <n v="8"/>
    <n v="3"/>
    <n v="8"/>
    <n v="1619"/>
    <x v="1"/>
  </r>
  <r>
    <n v="82"/>
    <s v="Dina Sayed"/>
    <x v="4"/>
    <x v="8"/>
    <s v="Male"/>
    <n v="36"/>
    <x v="80"/>
    <n v="12254"/>
    <n v="3.05"/>
    <x v="0"/>
    <n v="5"/>
    <n v="1"/>
    <n v="16"/>
    <n v="19"/>
    <n v="29"/>
    <n v="1417"/>
    <x v="2"/>
  </r>
  <r>
    <n v="83"/>
    <s v="Nour Mostafa"/>
    <x v="5"/>
    <x v="6"/>
    <s v="Female"/>
    <n v="44"/>
    <x v="81"/>
    <n v="11267"/>
    <n v="2.68"/>
    <x v="3"/>
    <n v="1"/>
    <n v="3"/>
    <n v="19"/>
    <n v="9"/>
    <n v="4"/>
    <n v="358"/>
    <x v="0"/>
  </r>
  <r>
    <n v="84"/>
    <s v="Salma Khaled"/>
    <x v="3"/>
    <x v="3"/>
    <s v="Female"/>
    <n v="36"/>
    <x v="82"/>
    <n v="12282"/>
    <n v="4.01"/>
    <x v="2"/>
    <n v="1"/>
    <n v="1"/>
    <n v="20"/>
    <n v="41"/>
    <n v="35"/>
    <n v="1576"/>
    <x v="1"/>
  </r>
  <r>
    <n v="85"/>
    <s v="Amr Mostafa"/>
    <x v="2"/>
    <x v="2"/>
    <s v="Female"/>
    <n v="34"/>
    <x v="83"/>
    <n v="10815"/>
    <n v="4.32"/>
    <x v="2"/>
    <n v="3"/>
    <n v="4"/>
    <n v="10"/>
    <n v="42"/>
    <n v="16"/>
    <n v="866"/>
    <x v="0"/>
  </r>
  <r>
    <n v="86"/>
    <s v="Mahmoud Mostafa"/>
    <x v="2"/>
    <x v="4"/>
    <s v="Female"/>
    <n v="47"/>
    <x v="84"/>
    <n v="6131"/>
    <n v="3.89"/>
    <x v="2"/>
    <n v="5"/>
    <n v="5"/>
    <n v="17"/>
    <n v="21"/>
    <n v="7"/>
    <n v="941"/>
    <x v="0"/>
  </r>
  <r>
    <n v="87"/>
    <s v="Mohamed Youssef"/>
    <x v="3"/>
    <x v="3"/>
    <s v="Female"/>
    <n v="25"/>
    <x v="85"/>
    <n v="13468"/>
    <n v="3.77"/>
    <x v="2"/>
    <n v="2"/>
    <n v="4"/>
    <n v="7"/>
    <n v="54"/>
    <n v="6"/>
    <n v="817"/>
    <x v="0"/>
  </r>
  <r>
    <n v="88"/>
    <s v="Rania Ibrahim"/>
    <x v="1"/>
    <x v="10"/>
    <s v="Male"/>
    <n v="41"/>
    <x v="86"/>
    <n v="14777"/>
    <n v="4.57"/>
    <x v="1"/>
    <n v="3"/>
    <n v="1"/>
    <n v="5"/>
    <n v="17"/>
    <n v="19"/>
    <n v="1987"/>
    <x v="1"/>
  </r>
  <r>
    <n v="89"/>
    <s v="Rania Mostafa"/>
    <x v="3"/>
    <x v="11"/>
    <s v="Male"/>
    <n v="45"/>
    <x v="87"/>
    <n v="14373"/>
    <n v="4.93"/>
    <x v="1"/>
    <n v="1"/>
    <n v="5"/>
    <n v="6"/>
    <n v="24"/>
    <n v="26"/>
    <n v="1029"/>
    <x v="2"/>
  </r>
  <r>
    <n v="90"/>
    <s v="Sara Nabil"/>
    <x v="3"/>
    <x v="11"/>
    <s v="Male"/>
    <n v="26"/>
    <x v="88"/>
    <n v="6579"/>
    <n v="4.3899999999999997"/>
    <x v="2"/>
    <n v="1"/>
    <n v="1"/>
    <n v="8"/>
    <n v="28"/>
    <n v="27"/>
    <n v="1094"/>
    <x v="2"/>
  </r>
  <r>
    <n v="91"/>
    <s v="Karim Fathy"/>
    <x v="1"/>
    <x v="1"/>
    <s v="Female"/>
    <n v="35"/>
    <x v="59"/>
    <n v="5816"/>
    <n v="3.21"/>
    <x v="0"/>
    <n v="5"/>
    <n v="4"/>
    <n v="16"/>
    <n v="42"/>
    <n v="19"/>
    <n v="193"/>
    <x v="0"/>
  </r>
  <r>
    <n v="92"/>
    <s v="Mohamed Hassan"/>
    <x v="2"/>
    <x v="4"/>
    <s v="Female"/>
    <n v="28"/>
    <x v="89"/>
    <n v="6248"/>
    <n v="4.41"/>
    <x v="2"/>
    <n v="3"/>
    <n v="3"/>
    <n v="3"/>
    <n v="0"/>
    <n v="31"/>
    <n v="1629"/>
    <x v="1"/>
  </r>
  <r>
    <n v="93"/>
    <s v="Amr Fathy"/>
    <x v="4"/>
    <x v="8"/>
    <s v="Male"/>
    <n v="34"/>
    <x v="90"/>
    <n v="4693"/>
    <n v="3.59"/>
    <x v="2"/>
    <n v="4"/>
    <n v="1"/>
    <n v="10"/>
    <n v="36"/>
    <n v="27"/>
    <n v="1274"/>
    <x v="2"/>
  </r>
  <r>
    <n v="94"/>
    <s v="Nour Hassan"/>
    <x v="4"/>
    <x v="8"/>
    <s v="Male"/>
    <n v="47"/>
    <x v="91"/>
    <n v="14127"/>
    <n v="3.65"/>
    <x v="2"/>
    <n v="3"/>
    <n v="1"/>
    <n v="13"/>
    <n v="54"/>
    <n v="6"/>
    <n v="598"/>
    <x v="0"/>
  </r>
  <r>
    <n v="95"/>
    <s v="Mahmoud Mostafa"/>
    <x v="4"/>
    <x v="8"/>
    <s v="Female"/>
    <n v="29"/>
    <x v="92"/>
    <n v="9456"/>
    <n v="4.45"/>
    <x v="2"/>
    <n v="1"/>
    <n v="5"/>
    <n v="20"/>
    <n v="7"/>
    <n v="33"/>
    <n v="1144"/>
    <x v="2"/>
  </r>
  <r>
    <n v="96"/>
    <s v="Omar Ibrahim"/>
    <x v="2"/>
    <x v="4"/>
    <s v="Male"/>
    <n v="30"/>
    <x v="93"/>
    <n v="7232"/>
    <n v="2.93"/>
    <x v="0"/>
    <n v="2"/>
    <n v="1"/>
    <n v="5"/>
    <n v="60"/>
    <n v="40"/>
    <n v="1111"/>
    <x v="2"/>
  </r>
  <r>
    <n v="97"/>
    <s v="Heba Nabil"/>
    <x v="4"/>
    <x v="8"/>
    <s v="Female"/>
    <n v="26"/>
    <x v="94"/>
    <n v="11205"/>
    <n v="2.67"/>
    <x v="3"/>
    <n v="4"/>
    <n v="3"/>
    <n v="8"/>
    <n v="37"/>
    <n v="3"/>
    <n v="820"/>
    <x v="0"/>
  </r>
  <r>
    <n v="98"/>
    <s v="Heba Hassan"/>
    <x v="1"/>
    <x v="1"/>
    <s v="Female"/>
    <n v="48"/>
    <x v="95"/>
    <n v="8703"/>
    <n v="2.69"/>
    <x v="3"/>
    <n v="1"/>
    <n v="5"/>
    <n v="19"/>
    <n v="32"/>
    <n v="24"/>
    <n v="1047"/>
    <x v="2"/>
  </r>
  <r>
    <n v="99"/>
    <s v="Mohamed Sayed"/>
    <x v="1"/>
    <x v="1"/>
    <s v="Female"/>
    <n v="41"/>
    <x v="96"/>
    <n v="11792"/>
    <n v="3.75"/>
    <x v="2"/>
    <n v="1"/>
    <n v="4"/>
    <n v="3"/>
    <n v="51"/>
    <n v="21"/>
    <n v="1562"/>
    <x v="1"/>
  </r>
  <r>
    <n v="100"/>
    <s v="Mohamed Ibrahim"/>
    <x v="5"/>
    <x v="9"/>
    <s v="Female"/>
    <n v="38"/>
    <x v="97"/>
    <n v="12564"/>
    <n v="4.0199999999999996"/>
    <x v="2"/>
    <n v="3"/>
    <n v="3"/>
    <n v="9"/>
    <n v="24"/>
    <n v="26"/>
    <n v="1686"/>
    <x v="1"/>
  </r>
  <r>
    <n v="101"/>
    <s v="Sara Mahmoud"/>
    <x v="3"/>
    <x v="3"/>
    <s v="Male"/>
    <n v="39"/>
    <x v="98"/>
    <n v="10333"/>
    <n v="3.21"/>
    <x v="0"/>
    <n v="5"/>
    <n v="2"/>
    <n v="10"/>
    <n v="5"/>
    <n v="37"/>
    <n v="1459"/>
    <x v="2"/>
  </r>
  <r>
    <n v="102"/>
    <s v="Nour Ali"/>
    <x v="2"/>
    <x v="14"/>
    <s v="Male"/>
    <n v="31"/>
    <x v="99"/>
    <n v="13157"/>
    <n v="3.44"/>
    <x v="0"/>
    <n v="3"/>
    <n v="2"/>
    <n v="16"/>
    <n v="5"/>
    <n v="27"/>
    <n v="1141"/>
    <x v="2"/>
  </r>
  <r>
    <n v="103"/>
    <s v="Youssef Ibrahim"/>
    <x v="3"/>
    <x v="3"/>
    <s v="Female"/>
    <n v="28"/>
    <x v="100"/>
    <n v="7711"/>
    <n v="5"/>
    <x v="1"/>
    <n v="2"/>
    <n v="1"/>
    <n v="9"/>
    <n v="54"/>
    <n v="6"/>
    <n v="1139"/>
    <x v="2"/>
  </r>
  <r>
    <n v="104"/>
    <s v="Hala Ali"/>
    <x v="1"/>
    <x v="10"/>
    <s v="Male"/>
    <n v="27"/>
    <x v="101"/>
    <n v="6962"/>
    <n v="4.58"/>
    <x v="1"/>
    <n v="5"/>
    <n v="2"/>
    <n v="14"/>
    <n v="2"/>
    <n v="26"/>
    <n v="846"/>
    <x v="0"/>
  </r>
  <r>
    <n v="105"/>
    <s v="Hala Youssef"/>
    <x v="0"/>
    <x v="12"/>
    <s v="Male"/>
    <n v="39"/>
    <x v="102"/>
    <n v="7918"/>
    <n v="3.27"/>
    <x v="0"/>
    <n v="4"/>
    <n v="2"/>
    <n v="11"/>
    <n v="43"/>
    <n v="36"/>
    <n v="1002"/>
    <x v="2"/>
  </r>
  <r>
    <n v="106"/>
    <s v="Fatma Fathy"/>
    <x v="4"/>
    <x v="8"/>
    <s v="Male"/>
    <n v="48"/>
    <x v="103"/>
    <n v="7271"/>
    <n v="4.5"/>
    <x v="2"/>
    <n v="2"/>
    <n v="3"/>
    <n v="1"/>
    <n v="41"/>
    <n v="30"/>
    <n v="1890"/>
    <x v="1"/>
  </r>
  <r>
    <n v="107"/>
    <s v="Fatma Mahmoud"/>
    <x v="3"/>
    <x v="3"/>
    <s v="Male"/>
    <n v="46"/>
    <x v="104"/>
    <n v="6626"/>
    <n v="3.18"/>
    <x v="0"/>
    <n v="5"/>
    <n v="2"/>
    <n v="13"/>
    <n v="5"/>
    <n v="14"/>
    <n v="1772"/>
    <x v="1"/>
  </r>
  <r>
    <n v="108"/>
    <s v="Aya Hassan"/>
    <x v="4"/>
    <x v="8"/>
    <s v="Female"/>
    <n v="29"/>
    <x v="93"/>
    <n v="10326"/>
    <n v="4.99"/>
    <x v="1"/>
    <n v="3"/>
    <n v="2"/>
    <n v="0"/>
    <n v="20"/>
    <n v="6"/>
    <n v="1818"/>
    <x v="1"/>
  </r>
  <r>
    <n v="109"/>
    <s v="Omar Hassan"/>
    <x v="0"/>
    <x v="12"/>
    <s v="Female"/>
    <n v="44"/>
    <x v="105"/>
    <n v="6273"/>
    <n v="4.4000000000000004"/>
    <x v="2"/>
    <n v="4"/>
    <n v="4"/>
    <n v="19"/>
    <n v="0"/>
    <n v="5"/>
    <n v="138"/>
    <x v="0"/>
  </r>
  <r>
    <n v="110"/>
    <s v="Salma Nabil"/>
    <x v="3"/>
    <x v="3"/>
    <s v="Male"/>
    <n v="46"/>
    <x v="106"/>
    <n v="8720"/>
    <n v="3.09"/>
    <x v="0"/>
    <n v="1"/>
    <n v="1"/>
    <n v="7"/>
    <n v="26"/>
    <n v="40"/>
    <n v="1725"/>
    <x v="1"/>
  </r>
  <r>
    <n v="111"/>
    <s v="Hala Fathy"/>
    <x v="1"/>
    <x v="1"/>
    <s v="Male"/>
    <n v="44"/>
    <x v="107"/>
    <n v="6352"/>
    <n v="3.23"/>
    <x v="0"/>
    <n v="1"/>
    <n v="5"/>
    <n v="11"/>
    <n v="15"/>
    <n v="36"/>
    <n v="953"/>
    <x v="0"/>
  </r>
  <r>
    <n v="112"/>
    <s v="Mona Mahmoud"/>
    <x v="2"/>
    <x v="14"/>
    <s v="Male"/>
    <n v="34"/>
    <x v="108"/>
    <n v="11702"/>
    <n v="2.61"/>
    <x v="3"/>
    <n v="4"/>
    <n v="3"/>
    <n v="8"/>
    <n v="47"/>
    <n v="1"/>
    <n v="831"/>
    <x v="0"/>
  </r>
  <r>
    <n v="113"/>
    <s v="Mostafa Nabil"/>
    <x v="5"/>
    <x v="13"/>
    <s v="Male"/>
    <n v="23"/>
    <x v="109"/>
    <n v="9772"/>
    <n v="3.87"/>
    <x v="2"/>
    <n v="2"/>
    <n v="4"/>
    <n v="15"/>
    <n v="40"/>
    <n v="11"/>
    <n v="1761"/>
    <x v="1"/>
  </r>
  <r>
    <n v="114"/>
    <s v="Heba Hassan"/>
    <x v="2"/>
    <x v="2"/>
    <s v="Male"/>
    <n v="23"/>
    <x v="110"/>
    <n v="7268"/>
    <n v="4.71"/>
    <x v="1"/>
    <n v="3"/>
    <n v="3"/>
    <n v="16"/>
    <n v="25"/>
    <n v="34"/>
    <n v="1069"/>
    <x v="2"/>
  </r>
  <r>
    <n v="115"/>
    <s v="Karim Youssef"/>
    <x v="3"/>
    <x v="3"/>
    <s v="Male"/>
    <n v="49"/>
    <x v="111"/>
    <n v="14743"/>
    <n v="3.33"/>
    <x v="0"/>
    <n v="1"/>
    <n v="3"/>
    <n v="13"/>
    <n v="56"/>
    <n v="25"/>
    <n v="1622"/>
    <x v="1"/>
  </r>
  <r>
    <n v="116"/>
    <s v="Youssef Sayed"/>
    <x v="4"/>
    <x v="8"/>
    <s v="Female"/>
    <n v="47"/>
    <x v="112"/>
    <n v="12507"/>
    <n v="3.17"/>
    <x v="0"/>
    <n v="1"/>
    <n v="4"/>
    <n v="2"/>
    <n v="27"/>
    <n v="38"/>
    <n v="1784"/>
    <x v="1"/>
  </r>
  <r>
    <n v="117"/>
    <s v="Mostafa Mahmoud"/>
    <x v="2"/>
    <x v="2"/>
    <s v="Female"/>
    <n v="31"/>
    <x v="113"/>
    <n v="11305"/>
    <n v="4.01"/>
    <x v="2"/>
    <n v="4"/>
    <n v="2"/>
    <n v="14"/>
    <n v="22"/>
    <n v="28"/>
    <n v="186"/>
    <x v="0"/>
  </r>
  <r>
    <n v="118"/>
    <s v="Aya Youssef"/>
    <x v="0"/>
    <x v="0"/>
    <s v="Male"/>
    <n v="43"/>
    <x v="114"/>
    <n v="14445"/>
    <n v="3.52"/>
    <x v="2"/>
    <n v="5"/>
    <n v="2"/>
    <n v="0"/>
    <n v="9"/>
    <n v="38"/>
    <n v="1488"/>
    <x v="2"/>
  </r>
  <r>
    <n v="119"/>
    <s v="Mona Khaled"/>
    <x v="4"/>
    <x v="8"/>
    <s v="Male"/>
    <n v="41"/>
    <x v="115"/>
    <n v="6513"/>
    <n v="4.2"/>
    <x v="2"/>
    <n v="3"/>
    <n v="3"/>
    <n v="14"/>
    <n v="48"/>
    <n v="4"/>
    <n v="1275"/>
    <x v="2"/>
  </r>
  <r>
    <n v="120"/>
    <s v="Sara Youssef"/>
    <x v="2"/>
    <x v="4"/>
    <s v="Male"/>
    <n v="22"/>
    <x v="116"/>
    <n v="7048"/>
    <n v="3.75"/>
    <x v="2"/>
    <n v="4"/>
    <n v="5"/>
    <n v="3"/>
    <n v="16"/>
    <n v="16"/>
    <n v="1541"/>
    <x v="1"/>
  </r>
  <r>
    <n v="121"/>
    <s v="Ibrahim Sayed"/>
    <x v="4"/>
    <x v="5"/>
    <s v="Male"/>
    <n v="26"/>
    <x v="117"/>
    <n v="5213"/>
    <n v="3.63"/>
    <x v="2"/>
    <n v="4"/>
    <n v="1"/>
    <n v="10"/>
    <n v="42"/>
    <n v="22"/>
    <n v="1553"/>
    <x v="1"/>
  </r>
  <r>
    <n v="122"/>
    <s v="Ibrahim Ali"/>
    <x v="5"/>
    <x v="7"/>
    <s v="Female"/>
    <n v="38"/>
    <x v="118"/>
    <n v="7673"/>
    <n v="2.8"/>
    <x v="0"/>
    <n v="2"/>
    <n v="2"/>
    <n v="7"/>
    <n v="50"/>
    <n v="31"/>
    <n v="153"/>
    <x v="0"/>
  </r>
  <r>
    <n v="123"/>
    <s v="Heba Fathy"/>
    <x v="3"/>
    <x v="11"/>
    <s v="Male"/>
    <n v="24"/>
    <x v="119"/>
    <n v="9067"/>
    <n v="3.5"/>
    <x v="0"/>
    <n v="4"/>
    <n v="5"/>
    <n v="13"/>
    <n v="49"/>
    <n v="26"/>
    <n v="1786"/>
    <x v="1"/>
  </r>
  <r>
    <n v="124"/>
    <s v="Mahmoud Sayed"/>
    <x v="1"/>
    <x v="10"/>
    <s v="Female"/>
    <n v="26"/>
    <x v="120"/>
    <n v="13032"/>
    <n v="4.0999999999999996"/>
    <x v="2"/>
    <n v="2"/>
    <n v="2"/>
    <n v="13"/>
    <n v="32"/>
    <n v="3"/>
    <n v="1802"/>
    <x v="1"/>
  </r>
  <r>
    <n v="125"/>
    <s v="Youssef Khaled"/>
    <x v="5"/>
    <x v="7"/>
    <s v="Female"/>
    <n v="38"/>
    <x v="121"/>
    <n v="8653"/>
    <n v="4.6100000000000003"/>
    <x v="1"/>
    <n v="3"/>
    <n v="2"/>
    <n v="20"/>
    <n v="35"/>
    <n v="17"/>
    <n v="356"/>
    <x v="0"/>
  </r>
  <r>
    <n v="126"/>
    <s v="Mahmoud Fathy"/>
    <x v="0"/>
    <x v="0"/>
    <s v="Male"/>
    <n v="27"/>
    <x v="122"/>
    <n v="14792"/>
    <n v="4.0599999999999996"/>
    <x v="2"/>
    <n v="5"/>
    <n v="3"/>
    <n v="18"/>
    <n v="2"/>
    <n v="1"/>
    <n v="266"/>
    <x v="0"/>
  </r>
  <r>
    <n v="127"/>
    <s v="Karim Nabil"/>
    <x v="5"/>
    <x v="9"/>
    <s v="Male"/>
    <n v="37"/>
    <x v="123"/>
    <n v="14275"/>
    <n v="3.86"/>
    <x v="2"/>
    <n v="3"/>
    <n v="4"/>
    <n v="7"/>
    <n v="51"/>
    <n v="25"/>
    <n v="709"/>
    <x v="0"/>
  </r>
  <r>
    <n v="128"/>
    <s v="Youssef Sayed"/>
    <x v="4"/>
    <x v="8"/>
    <s v="Female"/>
    <n v="36"/>
    <x v="124"/>
    <n v="7342"/>
    <n v="3.35"/>
    <x v="0"/>
    <n v="2"/>
    <n v="3"/>
    <n v="10"/>
    <n v="46"/>
    <n v="22"/>
    <n v="916"/>
    <x v="0"/>
  </r>
  <r>
    <n v="129"/>
    <s v="Mostafa Khaled"/>
    <x v="2"/>
    <x v="4"/>
    <s v="Female"/>
    <n v="25"/>
    <x v="125"/>
    <n v="8382"/>
    <n v="3.62"/>
    <x v="2"/>
    <n v="2"/>
    <n v="1"/>
    <n v="1"/>
    <n v="18"/>
    <n v="24"/>
    <n v="1869"/>
    <x v="1"/>
  </r>
  <r>
    <n v="130"/>
    <s v="Sara Nabil"/>
    <x v="1"/>
    <x v="10"/>
    <s v="Male"/>
    <n v="46"/>
    <x v="126"/>
    <n v="6610"/>
    <n v="3.75"/>
    <x v="2"/>
    <n v="5"/>
    <n v="4"/>
    <n v="15"/>
    <n v="56"/>
    <n v="19"/>
    <n v="1118"/>
    <x v="2"/>
  </r>
  <r>
    <n v="131"/>
    <s v="Fatma Sayed"/>
    <x v="5"/>
    <x v="7"/>
    <s v="Male"/>
    <n v="40"/>
    <x v="127"/>
    <n v="9781"/>
    <n v="2.62"/>
    <x v="3"/>
    <n v="3"/>
    <n v="4"/>
    <n v="19"/>
    <n v="56"/>
    <n v="30"/>
    <n v="685"/>
    <x v="0"/>
  </r>
  <r>
    <n v="132"/>
    <s v="Aya Ali"/>
    <x v="1"/>
    <x v="10"/>
    <s v="Female"/>
    <n v="46"/>
    <x v="128"/>
    <n v="10606"/>
    <n v="3.41"/>
    <x v="0"/>
    <n v="4"/>
    <n v="1"/>
    <n v="18"/>
    <n v="35"/>
    <n v="12"/>
    <n v="842"/>
    <x v="0"/>
  </r>
  <r>
    <n v="133"/>
    <s v="Heba Fathy"/>
    <x v="1"/>
    <x v="10"/>
    <s v="Male"/>
    <n v="26"/>
    <x v="129"/>
    <n v="5584"/>
    <n v="3.48"/>
    <x v="0"/>
    <n v="3"/>
    <n v="5"/>
    <n v="11"/>
    <n v="48"/>
    <n v="9"/>
    <n v="507"/>
    <x v="0"/>
  </r>
  <r>
    <n v="134"/>
    <s v="Mohamed Hassan"/>
    <x v="1"/>
    <x v="1"/>
    <s v="Male"/>
    <n v="44"/>
    <x v="130"/>
    <n v="9456"/>
    <n v="4.51"/>
    <x v="1"/>
    <n v="5"/>
    <n v="4"/>
    <n v="4"/>
    <n v="38"/>
    <n v="32"/>
    <n v="386"/>
    <x v="0"/>
  </r>
  <r>
    <n v="135"/>
    <s v="Nour Nabil"/>
    <x v="3"/>
    <x v="3"/>
    <s v="Female"/>
    <n v="38"/>
    <x v="131"/>
    <n v="12351"/>
    <n v="3.83"/>
    <x v="2"/>
    <n v="5"/>
    <n v="3"/>
    <n v="15"/>
    <n v="52"/>
    <n v="1"/>
    <n v="854"/>
    <x v="0"/>
  </r>
  <r>
    <n v="136"/>
    <s v="Rania Youssef"/>
    <x v="3"/>
    <x v="11"/>
    <s v="Female"/>
    <n v="30"/>
    <x v="132"/>
    <n v="14741"/>
    <n v="4.46"/>
    <x v="2"/>
    <n v="5"/>
    <n v="5"/>
    <n v="7"/>
    <n v="46"/>
    <n v="3"/>
    <n v="1295"/>
    <x v="2"/>
  </r>
  <r>
    <n v="137"/>
    <s v="Hala Mostafa"/>
    <x v="4"/>
    <x v="5"/>
    <s v="Male"/>
    <n v="23"/>
    <x v="133"/>
    <n v="13380"/>
    <n v="4.87"/>
    <x v="1"/>
    <n v="1"/>
    <n v="2"/>
    <n v="0"/>
    <n v="28"/>
    <n v="20"/>
    <n v="957"/>
    <x v="0"/>
  </r>
  <r>
    <n v="138"/>
    <s v="Aya Fathy"/>
    <x v="2"/>
    <x v="14"/>
    <s v="Female"/>
    <n v="49"/>
    <x v="134"/>
    <n v="5020"/>
    <n v="4.26"/>
    <x v="2"/>
    <n v="5"/>
    <n v="2"/>
    <n v="17"/>
    <n v="20"/>
    <n v="30"/>
    <n v="1176"/>
    <x v="2"/>
  </r>
  <r>
    <n v="139"/>
    <s v="Heba Fathy"/>
    <x v="4"/>
    <x v="8"/>
    <s v="Female"/>
    <n v="43"/>
    <x v="135"/>
    <n v="14539"/>
    <n v="4.51"/>
    <x v="1"/>
    <n v="3"/>
    <n v="5"/>
    <n v="15"/>
    <n v="12"/>
    <n v="15"/>
    <n v="671"/>
    <x v="0"/>
  </r>
  <r>
    <n v="140"/>
    <s v="Ibrahim Ibrahim"/>
    <x v="1"/>
    <x v="10"/>
    <s v="Female"/>
    <n v="37"/>
    <x v="136"/>
    <n v="9714"/>
    <n v="3.9"/>
    <x v="2"/>
    <n v="3"/>
    <n v="3"/>
    <n v="3"/>
    <n v="36"/>
    <n v="34"/>
    <n v="877"/>
    <x v="0"/>
  </r>
  <r>
    <n v="141"/>
    <s v="Omar Youssef"/>
    <x v="4"/>
    <x v="5"/>
    <s v="Female"/>
    <n v="44"/>
    <x v="137"/>
    <n v="5294"/>
    <n v="3.37"/>
    <x v="0"/>
    <n v="4"/>
    <n v="3"/>
    <n v="15"/>
    <n v="13"/>
    <n v="12"/>
    <n v="1795"/>
    <x v="1"/>
  </r>
  <r>
    <n v="142"/>
    <s v="Hassan Ali"/>
    <x v="1"/>
    <x v="1"/>
    <s v="Male"/>
    <n v="29"/>
    <x v="138"/>
    <n v="4831"/>
    <n v="4.17"/>
    <x v="2"/>
    <n v="5"/>
    <n v="2"/>
    <n v="20"/>
    <n v="14"/>
    <n v="3"/>
    <n v="305"/>
    <x v="0"/>
  </r>
  <r>
    <n v="143"/>
    <s v="Mostafa Ali"/>
    <x v="4"/>
    <x v="5"/>
    <s v="Male"/>
    <n v="35"/>
    <x v="139"/>
    <n v="14696"/>
    <n v="4.84"/>
    <x v="1"/>
    <n v="4"/>
    <n v="4"/>
    <n v="20"/>
    <n v="12"/>
    <n v="18"/>
    <n v="757"/>
    <x v="0"/>
  </r>
  <r>
    <n v="144"/>
    <s v="Mahmoud Nabil"/>
    <x v="3"/>
    <x v="11"/>
    <s v="Male"/>
    <n v="27"/>
    <x v="140"/>
    <n v="10846"/>
    <n v="4.71"/>
    <x v="1"/>
    <n v="2"/>
    <n v="1"/>
    <n v="12"/>
    <n v="50"/>
    <n v="31"/>
    <n v="481"/>
    <x v="0"/>
  </r>
  <r>
    <n v="145"/>
    <s v="Ahmed Youssef"/>
    <x v="0"/>
    <x v="0"/>
    <s v="Female"/>
    <n v="31"/>
    <x v="141"/>
    <n v="11444"/>
    <n v="4.97"/>
    <x v="1"/>
    <n v="5"/>
    <n v="5"/>
    <n v="15"/>
    <n v="56"/>
    <n v="8"/>
    <n v="1842"/>
    <x v="1"/>
  </r>
  <r>
    <n v="146"/>
    <s v="Mostafa Khaled"/>
    <x v="1"/>
    <x v="1"/>
    <s v="Female"/>
    <n v="42"/>
    <x v="142"/>
    <n v="8215"/>
    <n v="4.3"/>
    <x v="2"/>
    <n v="1"/>
    <n v="3"/>
    <n v="9"/>
    <n v="36"/>
    <n v="12"/>
    <n v="459"/>
    <x v="0"/>
  </r>
  <r>
    <n v="147"/>
    <s v="Fatma Khaled"/>
    <x v="1"/>
    <x v="1"/>
    <s v="Female"/>
    <n v="43"/>
    <x v="143"/>
    <n v="5562"/>
    <n v="2.96"/>
    <x v="0"/>
    <n v="2"/>
    <n v="4"/>
    <n v="10"/>
    <n v="59"/>
    <n v="15"/>
    <n v="113"/>
    <x v="0"/>
  </r>
  <r>
    <n v="148"/>
    <s v="Sara Youssef"/>
    <x v="3"/>
    <x v="11"/>
    <s v="Female"/>
    <n v="42"/>
    <x v="144"/>
    <n v="9890"/>
    <n v="4.2300000000000004"/>
    <x v="2"/>
    <n v="1"/>
    <n v="1"/>
    <n v="14"/>
    <n v="19"/>
    <n v="10"/>
    <n v="930"/>
    <x v="0"/>
  </r>
  <r>
    <n v="149"/>
    <s v="Ibrahim Mahmoud"/>
    <x v="0"/>
    <x v="12"/>
    <s v="Female"/>
    <n v="41"/>
    <x v="145"/>
    <n v="7618"/>
    <n v="3.05"/>
    <x v="0"/>
    <n v="2"/>
    <n v="4"/>
    <n v="4"/>
    <n v="29"/>
    <n v="38"/>
    <n v="865"/>
    <x v="0"/>
  </r>
  <r>
    <n v="150"/>
    <s v="Salma Ibrahim"/>
    <x v="4"/>
    <x v="5"/>
    <s v="Male"/>
    <n v="38"/>
    <x v="146"/>
    <n v="11319"/>
    <n v="3.82"/>
    <x v="2"/>
    <n v="3"/>
    <n v="1"/>
    <n v="18"/>
    <n v="7"/>
    <n v="3"/>
    <n v="1797"/>
    <x v="1"/>
  </r>
  <r>
    <n v="151"/>
    <s v="Omar Ali"/>
    <x v="1"/>
    <x v="10"/>
    <s v="Female"/>
    <n v="25"/>
    <x v="147"/>
    <n v="7365"/>
    <n v="4.29"/>
    <x v="2"/>
    <n v="4"/>
    <n v="1"/>
    <n v="16"/>
    <n v="28"/>
    <n v="3"/>
    <n v="1028"/>
    <x v="2"/>
  </r>
  <r>
    <n v="152"/>
    <s v="Rania Hassan"/>
    <x v="2"/>
    <x v="14"/>
    <s v="Female"/>
    <n v="43"/>
    <x v="148"/>
    <n v="9049"/>
    <n v="4.3099999999999996"/>
    <x v="2"/>
    <n v="4"/>
    <n v="3"/>
    <n v="0"/>
    <n v="47"/>
    <n v="13"/>
    <n v="1284"/>
    <x v="2"/>
  </r>
  <r>
    <n v="153"/>
    <s v="Mahmoud Fathy"/>
    <x v="5"/>
    <x v="6"/>
    <s v="Male"/>
    <n v="37"/>
    <x v="149"/>
    <n v="4519"/>
    <n v="3.22"/>
    <x v="0"/>
    <n v="2"/>
    <n v="2"/>
    <n v="20"/>
    <n v="46"/>
    <n v="26"/>
    <n v="866"/>
    <x v="0"/>
  </r>
  <r>
    <n v="154"/>
    <s v="Nour Mostafa"/>
    <x v="4"/>
    <x v="5"/>
    <s v="Male"/>
    <n v="42"/>
    <x v="150"/>
    <n v="9697"/>
    <n v="2.8"/>
    <x v="0"/>
    <n v="5"/>
    <n v="4"/>
    <n v="16"/>
    <n v="8"/>
    <n v="14"/>
    <n v="1809"/>
    <x v="1"/>
  </r>
  <r>
    <n v="155"/>
    <s v="Heba Fathy"/>
    <x v="5"/>
    <x v="9"/>
    <s v="Female"/>
    <n v="48"/>
    <x v="151"/>
    <n v="7762"/>
    <n v="3.12"/>
    <x v="0"/>
    <n v="3"/>
    <n v="2"/>
    <n v="8"/>
    <n v="12"/>
    <n v="7"/>
    <n v="165"/>
    <x v="0"/>
  </r>
  <r>
    <n v="156"/>
    <s v="Ahmed Ibrahim"/>
    <x v="0"/>
    <x v="0"/>
    <s v="Male"/>
    <n v="25"/>
    <x v="152"/>
    <n v="13731"/>
    <n v="2.58"/>
    <x v="3"/>
    <n v="5"/>
    <n v="1"/>
    <n v="7"/>
    <n v="47"/>
    <n v="2"/>
    <n v="923"/>
    <x v="0"/>
  </r>
  <r>
    <n v="157"/>
    <s v="Mohamed Ali"/>
    <x v="4"/>
    <x v="8"/>
    <s v="Male"/>
    <n v="48"/>
    <x v="153"/>
    <n v="13438"/>
    <n v="3.3"/>
    <x v="0"/>
    <n v="5"/>
    <n v="3"/>
    <n v="7"/>
    <n v="19"/>
    <n v="9"/>
    <n v="1452"/>
    <x v="2"/>
  </r>
  <r>
    <n v="158"/>
    <s v="Hassan Hassan"/>
    <x v="1"/>
    <x v="1"/>
    <s v="Female"/>
    <n v="39"/>
    <x v="154"/>
    <n v="12120"/>
    <n v="2.62"/>
    <x v="3"/>
    <n v="3"/>
    <n v="4"/>
    <n v="16"/>
    <n v="20"/>
    <n v="26"/>
    <n v="936"/>
    <x v="0"/>
  </r>
  <r>
    <n v="159"/>
    <s v="Salma Sayed"/>
    <x v="2"/>
    <x v="4"/>
    <s v="Male"/>
    <n v="31"/>
    <x v="155"/>
    <n v="6365"/>
    <n v="4.51"/>
    <x v="1"/>
    <n v="1"/>
    <n v="5"/>
    <n v="13"/>
    <n v="26"/>
    <n v="35"/>
    <n v="1185"/>
    <x v="2"/>
  </r>
  <r>
    <n v="160"/>
    <s v="Sara Mahmoud"/>
    <x v="2"/>
    <x v="2"/>
    <s v="Female"/>
    <n v="24"/>
    <x v="156"/>
    <n v="12775"/>
    <n v="4.3099999999999996"/>
    <x v="2"/>
    <n v="2"/>
    <n v="1"/>
    <n v="8"/>
    <n v="24"/>
    <n v="38"/>
    <n v="1334"/>
    <x v="2"/>
  </r>
  <r>
    <n v="161"/>
    <s v="Salma Ibrahim"/>
    <x v="5"/>
    <x v="9"/>
    <s v="Male"/>
    <n v="49"/>
    <x v="124"/>
    <n v="9455"/>
    <n v="3.26"/>
    <x v="0"/>
    <n v="1"/>
    <n v="2"/>
    <n v="6"/>
    <n v="47"/>
    <n v="7"/>
    <n v="1629"/>
    <x v="1"/>
  </r>
  <r>
    <n v="162"/>
    <s v="Karim Mostafa"/>
    <x v="4"/>
    <x v="5"/>
    <s v="Female"/>
    <n v="46"/>
    <x v="157"/>
    <n v="8637"/>
    <n v="3.45"/>
    <x v="0"/>
    <n v="5"/>
    <n v="3"/>
    <n v="9"/>
    <n v="16"/>
    <n v="23"/>
    <n v="1150"/>
    <x v="2"/>
  </r>
  <r>
    <n v="163"/>
    <s v="Sara Ibrahim"/>
    <x v="4"/>
    <x v="8"/>
    <s v="Female"/>
    <n v="35"/>
    <x v="158"/>
    <n v="4749"/>
    <n v="3.91"/>
    <x v="2"/>
    <n v="2"/>
    <n v="2"/>
    <n v="0"/>
    <n v="16"/>
    <n v="35"/>
    <n v="1296"/>
    <x v="2"/>
  </r>
  <r>
    <n v="164"/>
    <s v="Karim Khaled"/>
    <x v="1"/>
    <x v="1"/>
    <s v="Female"/>
    <n v="40"/>
    <x v="91"/>
    <n v="8026"/>
    <n v="3.75"/>
    <x v="2"/>
    <n v="3"/>
    <n v="3"/>
    <n v="15"/>
    <n v="46"/>
    <n v="31"/>
    <n v="1043"/>
    <x v="2"/>
  </r>
  <r>
    <n v="165"/>
    <s v="Dina Ali"/>
    <x v="2"/>
    <x v="14"/>
    <s v="Male"/>
    <n v="38"/>
    <x v="159"/>
    <n v="4554"/>
    <n v="4.5999999999999996"/>
    <x v="1"/>
    <n v="1"/>
    <n v="1"/>
    <n v="0"/>
    <n v="26"/>
    <n v="8"/>
    <n v="1825"/>
    <x v="1"/>
  </r>
  <r>
    <n v="166"/>
    <s v="Ahmed Ibrahim"/>
    <x v="0"/>
    <x v="12"/>
    <s v="Female"/>
    <n v="23"/>
    <x v="160"/>
    <n v="14122"/>
    <n v="4.09"/>
    <x v="2"/>
    <n v="5"/>
    <n v="4"/>
    <n v="15"/>
    <n v="1"/>
    <n v="0"/>
    <n v="1189"/>
    <x v="2"/>
  </r>
  <r>
    <n v="167"/>
    <s v="Hassan Fathy"/>
    <x v="1"/>
    <x v="10"/>
    <s v="Male"/>
    <n v="38"/>
    <x v="161"/>
    <n v="11054"/>
    <n v="4.5199999999999996"/>
    <x v="1"/>
    <n v="2"/>
    <n v="1"/>
    <n v="3"/>
    <n v="33"/>
    <n v="9"/>
    <n v="593"/>
    <x v="0"/>
  </r>
  <r>
    <n v="168"/>
    <s v="Mona Youssef"/>
    <x v="2"/>
    <x v="2"/>
    <s v="Male"/>
    <n v="33"/>
    <x v="162"/>
    <n v="10652"/>
    <n v="3.65"/>
    <x v="2"/>
    <n v="2"/>
    <n v="2"/>
    <n v="9"/>
    <n v="43"/>
    <n v="5"/>
    <n v="1438"/>
    <x v="2"/>
  </r>
  <r>
    <n v="169"/>
    <s v="Nour Fathy"/>
    <x v="0"/>
    <x v="12"/>
    <s v="Male"/>
    <n v="42"/>
    <x v="163"/>
    <n v="4154"/>
    <n v="4.26"/>
    <x v="2"/>
    <n v="1"/>
    <n v="4"/>
    <n v="13"/>
    <n v="41"/>
    <n v="21"/>
    <n v="1258"/>
    <x v="2"/>
  </r>
  <r>
    <n v="170"/>
    <s v="Amr Ibrahim"/>
    <x v="5"/>
    <x v="9"/>
    <s v="Female"/>
    <n v="23"/>
    <x v="164"/>
    <n v="5218"/>
    <n v="4.21"/>
    <x v="2"/>
    <n v="3"/>
    <n v="5"/>
    <n v="18"/>
    <n v="42"/>
    <n v="2"/>
    <n v="467"/>
    <x v="0"/>
  </r>
  <r>
    <n v="171"/>
    <s v="Rania Ali"/>
    <x v="3"/>
    <x v="3"/>
    <s v="Male"/>
    <n v="31"/>
    <x v="165"/>
    <n v="6661"/>
    <n v="3.91"/>
    <x v="2"/>
    <n v="5"/>
    <n v="4"/>
    <n v="17"/>
    <n v="21"/>
    <n v="24"/>
    <n v="1647"/>
    <x v="1"/>
  </r>
  <r>
    <n v="172"/>
    <s v="Mahmoud Fathy"/>
    <x v="0"/>
    <x v="12"/>
    <s v="Male"/>
    <n v="25"/>
    <x v="166"/>
    <n v="11161"/>
    <n v="3.08"/>
    <x v="0"/>
    <n v="1"/>
    <n v="3"/>
    <n v="19"/>
    <n v="49"/>
    <n v="39"/>
    <n v="1319"/>
    <x v="2"/>
  </r>
  <r>
    <n v="173"/>
    <s v="Heba Sayed"/>
    <x v="4"/>
    <x v="5"/>
    <s v="Female"/>
    <n v="39"/>
    <x v="167"/>
    <n v="10150"/>
    <n v="3.58"/>
    <x v="2"/>
    <n v="5"/>
    <n v="4"/>
    <n v="2"/>
    <n v="49"/>
    <n v="39"/>
    <n v="704"/>
    <x v="0"/>
  </r>
  <r>
    <n v="174"/>
    <s v="Nour Ali"/>
    <x v="2"/>
    <x v="14"/>
    <s v="Female"/>
    <n v="32"/>
    <x v="168"/>
    <n v="9909"/>
    <n v="2.77"/>
    <x v="0"/>
    <n v="1"/>
    <n v="3"/>
    <n v="14"/>
    <n v="23"/>
    <n v="17"/>
    <n v="309"/>
    <x v="0"/>
  </r>
  <r>
    <n v="175"/>
    <s v="Salma Fathy"/>
    <x v="2"/>
    <x v="14"/>
    <s v="Female"/>
    <n v="25"/>
    <x v="169"/>
    <n v="4430"/>
    <n v="2.72"/>
    <x v="0"/>
    <n v="5"/>
    <n v="1"/>
    <n v="19"/>
    <n v="38"/>
    <n v="20"/>
    <n v="1868"/>
    <x v="1"/>
  </r>
  <r>
    <n v="176"/>
    <s v="Nour Mahmoud"/>
    <x v="4"/>
    <x v="5"/>
    <s v="Male"/>
    <n v="43"/>
    <x v="170"/>
    <n v="10237"/>
    <n v="2.92"/>
    <x v="0"/>
    <n v="3"/>
    <n v="3"/>
    <n v="8"/>
    <n v="31"/>
    <n v="9"/>
    <n v="229"/>
    <x v="0"/>
  </r>
  <r>
    <n v="177"/>
    <s v="Ibrahim Sayed"/>
    <x v="2"/>
    <x v="4"/>
    <s v="Female"/>
    <n v="30"/>
    <x v="171"/>
    <n v="8040"/>
    <n v="4.3"/>
    <x v="2"/>
    <n v="4"/>
    <n v="5"/>
    <n v="19"/>
    <n v="12"/>
    <n v="29"/>
    <n v="319"/>
    <x v="0"/>
  </r>
  <r>
    <n v="178"/>
    <s v="Sara Nabil"/>
    <x v="2"/>
    <x v="2"/>
    <s v="Female"/>
    <n v="36"/>
    <x v="172"/>
    <n v="9484"/>
    <n v="3.58"/>
    <x v="2"/>
    <n v="5"/>
    <n v="2"/>
    <n v="9"/>
    <n v="20"/>
    <n v="38"/>
    <n v="1523"/>
    <x v="1"/>
  </r>
  <r>
    <n v="179"/>
    <s v="Nour Khaled"/>
    <x v="2"/>
    <x v="2"/>
    <s v="Female"/>
    <n v="40"/>
    <x v="173"/>
    <n v="7971"/>
    <n v="3.31"/>
    <x v="0"/>
    <n v="3"/>
    <n v="4"/>
    <n v="11"/>
    <n v="7"/>
    <n v="36"/>
    <n v="509"/>
    <x v="0"/>
  </r>
  <r>
    <n v="180"/>
    <s v="Ahmed Sayed"/>
    <x v="1"/>
    <x v="1"/>
    <s v="Female"/>
    <n v="47"/>
    <x v="113"/>
    <n v="8773"/>
    <n v="4.58"/>
    <x v="1"/>
    <n v="1"/>
    <n v="4"/>
    <n v="15"/>
    <n v="8"/>
    <n v="40"/>
    <n v="720"/>
    <x v="0"/>
  </r>
  <r>
    <n v="181"/>
    <s v="Aya Mostafa"/>
    <x v="2"/>
    <x v="4"/>
    <s v="Female"/>
    <n v="41"/>
    <x v="174"/>
    <n v="11851"/>
    <n v="3.96"/>
    <x v="2"/>
    <n v="5"/>
    <n v="5"/>
    <n v="13"/>
    <n v="34"/>
    <n v="2"/>
    <n v="1719"/>
    <x v="1"/>
  </r>
  <r>
    <n v="182"/>
    <s v="Mahmoud Mahmoud"/>
    <x v="3"/>
    <x v="11"/>
    <s v="Female"/>
    <n v="27"/>
    <x v="175"/>
    <n v="14600"/>
    <n v="4.03"/>
    <x v="2"/>
    <n v="5"/>
    <n v="4"/>
    <n v="10"/>
    <n v="50"/>
    <n v="27"/>
    <n v="316"/>
    <x v="0"/>
  </r>
  <r>
    <n v="183"/>
    <s v="Fatma Fathy"/>
    <x v="5"/>
    <x v="7"/>
    <s v="Female"/>
    <n v="33"/>
    <x v="176"/>
    <n v="10408"/>
    <n v="3.66"/>
    <x v="2"/>
    <n v="5"/>
    <n v="5"/>
    <n v="4"/>
    <n v="22"/>
    <n v="1"/>
    <n v="1088"/>
    <x v="2"/>
  </r>
  <r>
    <n v="184"/>
    <s v="Mahmoud Mahmoud"/>
    <x v="5"/>
    <x v="7"/>
    <s v="Female"/>
    <n v="31"/>
    <x v="177"/>
    <n v="9620"/>
    <n v="3.64"/>
    <x v="2"/>
    <n v="2"/>
    <n v="5"/>
    <n v="15"/>
    <n v="22"/>
    <n v="30"/>
    <n v="299"/>
    <x v="0"/>
  </r>
  <r>
    <n v="185"/>
    <s v="Ibrahim Hassan"/>
    <x v="4"/>
    <x v="5"/>
    <s v="Male"/>
    <n v="49"/>
    <x v="178"/>
    <n v="9620"/>
    <n v="4.12"/>
    <x v="2"/>
    <n v="2"/>
    <n v="2"/>
    <n v="16"/>
    <n v="11"/>
    <n v="35"/>
    <n v="427"/>
    <x v="0"/>
  </r>
  <r>
    <n v="186"/>
    <s v="Heba Ibrahim"/>
    <x v="3"/>
    <x v="3"/>
    <s v="Male"/>
    <n v="27"/>
    <x v="179"/>
    <n v="14493"/>
    <n v="4.1399999999999997"/>
    <x v="2"/>
    <n v="4"/>
    <n v="1"/>
    <n v="19"/>
    <n v="56"/>
    <n v="12"/>
    <n v="1020"/>
    <x v="2"/>
  </r>
  <r>
    <n v="187"/>
    <s v="Karim Ibrahim"/>
    <x v="1"/>
    <x v="10"/>
    <s v="Male"/>
    <n v="40"/>
    <x v="180"/>
    <n v="5667"/>
    <n v="4.5"/>
    <x v="2"/>
    <n v="5"/>
    <n v="2"/>
    <n v="11"/>
    <n v="20"/>
    <n v="12"/>
    <n v="1037"/>
    <x v="2"/>
  </r>
  <r>
    <n v="188"/>
    <s v="Dina Fathy"/>
    <x v="5"/>
    <x v="13"/>
    <s v="Female"/>
    <n v="41"/>
    <x v="181"/>
    <n v="10431"/>
    <n v="3.97"/>
    <x v="2"/>
    <n v="3"/>
    <n v="3"/>
    <n v="14"/>
    <n v="39"/>
    <n v="11"/>
    <n v="1766"/>
    <x v="1"/>
  </r>
  <r>
    <n v="189"/>
    <s v="Rania Mahmoud"/>
    <x v="0"/>
    <x v="0"/>
    <s v="Female"/>
    <n v="25"/>
    <x v="182"/>
    <n v="7908"/>
    <n v="3.26"/>
    <x v="0"/>
    <n v="2"/>
    <n v="3"/>
    <n v="4"/>
    <n v="32"/>
    <n v="24"/>
    <n v="956"/>
    <x v="0"/>
  </r>
  <r>
    <n v="190"/>
    <s v="Aya Ali"/>
    <x v="1"/>
    <x v="10"/>
    <s v="Male"/>
    <n v="39"/>
    <x v="183"/>
    <n v="6733"/>
    <n v="3.72"/>
    <x v="2"/>
    <n v="2"/>
    <n v="2"/>
    <n v="10"/>
    <n v="53"/>
    <n v="28"/>
    <n v="1368"/>
    <x v="2"/>
  </r>
  <r>
    <n v="191"/>
    <s v="Dina Ali"/>
    <x v="5"/>
    <x v="7"/>
    <s v="Female"/>
    <n v="39"/>
    <x v="184"/>
    <n v="12281"/>
    <n v="4.13"/>
    <x v="2"/>
    <n v="4"/>
    <n v="4"/>
    <n v="13"/>
    <n v="45"/>
    <n v="28"/>
    <n v="1100"/>
    <x v="2"/>
  </r>
  <r>
    <n v="192"/>
    <s v="Amr Youssef"/>
    <x v="2"/>
    <x v="4"/>
    <s v="Female"/>
    <n v="29"/>
    <x v="185"/>
    <n v="12808"/>
    <n v="3.22"/>
    <x v="0"/>
    <n v="4"/>
    <n v="5"/>
    <n v="15"/>
    <n v="35"/>
    <n v="32"/>
    <n v="331"/>
    <x v="0"/>
  </r>
  <r>
    <n v="193"/>
    <s v="Salma Khaled"/>
    <x v="1"/>
    <x v="1"/>
    <s v="Female"/>
    <n v="39"/>
    <x v="186"/>
    <n v="7580"/>
    <n v="4.97"/>
    <x v="1"/>
    <n v="1"/>
    <n v="2"/>
    <n v="9"/>
    <n v="55"/>
    <n v="2"/>
    <n v="1021"/>
    <x v="2"/>
  </r>
  <r>
    <n v="194"/>
    <s v="Mahmoud Sayed"/>
    <x v="3"/>
    <x v="11"/>
    <s v="Male"/>
    <n v="28"/>
    <x v="187"/>
    <n v="13632"/>
    <n v="4.22"/>
    <x v="2"/>
    <n v="5"/>
    <n v="4"/>
    <n v="5"/>
    <n v="39"/>
    <n v="8"/>
    <n v="1707"/>
    <x v="1"/>
  </r>
  <r>
    <n v="195"/>
    <s v="Rania Khaled"/>
    <x v="2"/>
    <x v="14"/>
    <s v="Female"/>
    <n v="41"/>
    <x v="188"/>
    <n v="12827"/>
    <n v="2.92"/>
    <x v="0"/>
    <n v="3"/>
    <n v="3"/>
    <n v="18"/>
    <n v="17"/>
    <n v="32"/>
    <n v="1943"/>
    <x v="1"/>
  </r>
  <r>
    <n v="196"/>
    <s v="Mohamed Youssef"/>
    <x v="0"/>
    <x v="0"/>
    <s v="Male"/>
    <n v="29"/>
    <x v="189"/>
    <n v="6396"/>
    <n v="4.28"/>
    <x v="2"/>
    <n v="2"/>
    <n v="4"/>
    <n v="15"/>
    <n v="9"/>
    <n v="36"/>
    <n v="1395"/>
    <x v="2"/>
  </r>
  <r>
    <n v="197"/>
    <s v="Mahmoud Mahmoud"/>
    <x v="3"/>
    <x v="3"/>
    <s v="Female"/>
    <n v="44"/>
    <x v="190"/>
    <n v="10046"/>
    <n v="3.64"/>
    <x v="2"/>
    <n v="4"/>
    <n v="3"/>
    <n v="18"/>
    <n v="0"/>
    <n v="5"/>
    <n v="1596"/>
    <x v="1"/>
  </r>
  <r>
    <n v="198"/>
    <s v="Salma Mostafa"/>
    <x v="4"/>
    <x v="5"/>
    <s v="Female"/>
    <n v="48"/>
    <x v="191"/>
    <n v="7470"/>
    <n v="3.74"/>
    <x v="2"/>
    <n v="3"/>
    <n v="3"/>
    <n v="10"/>
    <n v="35"/>
    <n v="36"/>
    <n v="367"/>
    <x v="0"/>
  </r>
  <r>
    <n v="199"/>
    <s v="Mohamed Hassan"/>
    <x v="1"/>
    <x v="1"/>
    <s v="Female"/>
    <n v="22"/>
    <x v="192"/>
    <n v="6035"/>
    <n v="4.82"/>
    <x v="1"/>
    <n v="2"/>
    <n v="4"/>
    <n v="14"/>
    <n v="0"/>
    <n v="27"/>
    <n v="514"/>
    <x v="0"/>
  </r>
  <r>
    <n v="200"/>
    <s v="Ibrahim Ali"/>
    <x v="0"/>
    <x v="12"/>
    <s v="Male"/>
    <n v="42"/>
    <x v="193"/>
    <n v="9905"/>
    <n v="3.13"/>
    <x v="0"/>
    <n v="3"/>
    <n v="2"/>
    <n v="1"/>
    <n v="25"/>
    <n v="40"/>
    <n v="7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6F8E6F-3EF0-4F83-BDCA-835D85FE84A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Performance">
  <location ref="P4:Q10" firstHeaderRow="1" firstDataRow="1" firstDataCol="1"/>
  <pivotFields count="20">
    <pivotField showAll="0"/>
    <pivotField showAll="0"/>
    <pivotField axis="axisRow"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dataField="1"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6">
    <i>
      <x/>
    </i>
    <i>
      <x v="1"/>
    </i>
    <i>
      <x v="2"/>
    </i>
    <i>
      <x v="3"/>
    </i>
    <i>
      <x v="4"/>
    </i>
    <i>
      <x v="5"/>
    </i>
  </rowItems>
  <colItems count="1">
    <i/>
  </colItems>
  <dataFields count="1">
    <dataField name="Average of Salary" fld="7" subtotal="average" baseField="2"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CA4597-BE6C-4308-A8D0-45237E73FC4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D43" firstHeaderRow="1" firstDataRow="1" firstDataCol="0"/>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TrainingCost" fld="15" subtotal="average" baseField="8"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BCC09-C568-41FB-BC2A-828F7AAB10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D37" firstHeaderRow="1" firstDataRow="1" firstDataCol="0"/>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dataField="1"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Salary" fld="7" subtotal="average"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8997AA-9A4F-41EB-9DFC-FF8459C8384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dataField="1"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PerformanceScore" fld="8" subtotal="average" baseField="0" baseItem="0" numFmtId="2"/>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4B956-CE5A-454A-A97E-50EA36FF753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SatisfactionScore" fld="10" subtotal="average"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E423EB-6B55-4A6A-A04B-8685B18B94C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8:D33" firstHeaderRow="1" firstDataRow="1" firstDataCol="1"/>
  <pivotFields count="20">
    <pivotField showAll="0"/>
    <pivotField showAll="0"/>
    <pivotField showAll="0">
      <items count="7">
        <item x="3"/>
        <item x="2"/>
        <item x="5"/>
        <item x="4"/>
        <item x="0"/>
        <item x="1"/>
        <item t="default"/>
      </items>
    </pivotField>
    <pivotField axis="axisRow"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15">
    <i>
      <x/>
    </i>
    <i>
      <x v="1"/>
    </i>
    <i>
      <x v="2"/>
    </i>
    <i>
      <x v="3"/>
    </i>
    <i>
      <x v="4"/>
    </i>
    <i>
      <x v="5"/>
    </i>
    <i>
      <x v="6"/>
    </i>
    <i>
      <x v="7"/>
    </i>
    <i>
      <x v="8"/>
    </i>
    <i>
      <x v="9"/>
    </i>
    <i>
      <x v="10"/>
    </i>
    <i>
      <x v="11"/>
    </i>
    <i>
      <x v="12"/>
    </i>
    <i>
      <x v="13"/>
    </i>
    <i>
      <x v="1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B57260-382D-4537-868D-409C810E1D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0">
    <pivotField dataField="1"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63559D-8A41-4DF1-B65A-9895EC0EC50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Performance">
  <location ref="M12:N27" firstHeaderRow="1" firstDataRow="1" firstDataCol="1"/>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axis="axisRow" showAll="0">
      <items count="5">
        <item x="1"/>
        <item x="0"/>
        <item x="2"/>
        <item x="3"/>
        <item t="default"/>
      </items>
    </pivotField>
    <pivotField showAll="0"/>
    <pivotField showAll="0"/>
    <pivotField showAll="0"/>
    <pivotField showAll="0"/>
    <pivotField showAll="0"/>
    <pivotField dataField="1" showAll="0"/>
    <pivotField axis="axisRow"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2">
    <field x="16"/>
    <field x="9"/>
  </rowFields>
  <rowItems count="15">
    <i>
      <x/>
    </i>
    <i r="1">
      <x/>
    </i>
    <i r="1">
      <x v="1"/>
    </i>
    <i r="1">
      <x v="2"/>
    </i>
    <i r="1">
      <x v="3"/>
    </i>
    <i>
      <x v="1"/>
    </i>
    <i r="1">
      <x/>
    </i>
    <i r="1">
      <x v="1"/>
    </i>
    <i r="1">
      <x v="2"/>
    </i>
    <i r="1">
      <x v="3"/>
    </i>
    <i>
      <x v="2"/>
    </i>
    <i r="1">
      <x/>
    </i>
    <i r="1">
      <x v="1"/>
    </i>
    <i r="1">
      <x v="2"/>
    </i>
    <i r="1">
      <x v="3"/>
    </i>
  </rowItems>
  <colItems count="1">
    <i/>
  </colItems>
  <dataFields count="1">
    <dataField name="Average of TrainingCost" fld="15" subtotal="average" baseField="17" baseItem="0" numFmtId="165"/>
  </dataFields>
  <formats count="1">
    <format dxfId="25">
      <pivotArea outline="0" collapsedLevelsAreSubtotals="1" fieldPosition="0"/>
    </format>
  </formats>
  <chartFormats count="1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3">
          <reference field="4294967294" count="1" selected="0">
            <x v="0"/>
          </reference>
          <reference field="9" count="1" selected="0">
            <x v="0"/>
          </reference>
          <reference field="16" count="1" selected="0">
            <x v="2"/>
          </reference>
        </references>
      </pivotArea>
    </chartFormat>
    <chartFormat chart="17" format="4">
      <pivotArea type="data" outline="0" fieldPosition="0">
        <references count="3">
          <reference field="4294967294" count="1" selected="0">
            <x v="0"/>
          </reference>
          <reference field="9" count="1" selected="0">
            <x v="0"/>
          </reference>
          <reference field="16" count="1" selected="0">
            <x v="1"/>
          </reference>
        </references>
      </pivotArea>
    </chartFormat>
    <chartFormat chart="17" format="5">
      <pivotArea type="data" outline="0" fieldPosition="0">
        <references count="3">
          <reference field="4294967294" count="1" selected="0">
            <x v="0"/>
          </reference>
          <reference field="9" count="1" selected="0">
            <x v="3"/>
          </reference>
          <reference field="16" count="1" selected="0">
            <x v="0"/>
          </reference>
        </references>
      </pivotArea>
    </chartFormat>
    <chartFormat chart="17" format="6">
      <pivotArea type="data" outline="0" fieldPosition="0">
        <references count="3">
          <reference field="4294967294" count="1" selected="0">
            <x v="0"/>
          </reference>
          <reference field="9" count="1" selected="0">
            <x v="2"/>
          </reference>
          <reference field="16" count="1" selected="0">
            <x v="1"/>
          </reference>
        </references>
      </pivotArea>
    </chartFormat>
    <chartFormat chart="17" format="7">
      <pivotArea type="data" outline="0" fieldPosition="0">
        <references count="3">
          <reference field="4294967294" count="1" selected="0">
            <x v="0"/>
          </reference>
          <reference field="9" count="1" selected="0">
            <x v="1"/>
          </reference>
          <reference field="16" count="1" selected="0">
            <x v="1"/>
          </reference>
        </references>
      </pivotArea>
    </chartFormat>
    <chartFormat chart="17" format="8">
      <pivotArea type="data" outline="0" fieldPosition="0">
        <references count="3">
          <reference field="4294967294" count="1" selected="0">
            <x v="0"/>
          </reference>
          <reference field="9" count="1" selected="0">
            <x v="3"/>
          </reference>
          <reference field="16" count="1" selected="0">
            <x v="1"/>
          </reference>
        </references>
      </pivotArea>
    </chartFormat>
    <chartFormat chart="17" format="9">
      <pivotArea type="data" outline="0" fieldPosition="0">
        <references count="3">
          <reference field="4294967294" count="1" selected="0">
            <x v="0"/>
          </reference>
          <reference field="9" count="1" selected="0">
            <x v="1"/>
          </reference>
          <reference field="16" count="1" selected="0">
            <x v="2"/>
          </reference>
        </references>
      </pivotArea>
    </chartFormat>
    <chartFormat chart="17" format="10">
      <pivotArea type="data" outline="0" fieldPosition="0">
        <references count="3">
          <reference field="4294967294" count="1" selected="0">
            <x v="0"/>
          </reference>
          <reference field="9" count="1" selected="0">
            <x v="2"/>
          </reference>
          <reference field="16" count="1" selected="0">
            <x v="2"/>
          </reference>
        </references>
      </pivotArea>
    </chartFormat>
    <chartFormat chart="17" format="11">
      <pivotArea type="data" outline="0" fieldPosition="0">
        <references count="3">
          <reference field="4294967294" count="1" selected="0">
            <x v="0"/>
          </reference>
          <reference field="9" count="1" selected="0">
            <x v="3"/>
          </reference>
          <reference field="16" count="1" selected="0">
            <x v="2"/>
          </reference>
        </references>
      </pivotArea>
    </chartFormat>
    <chartFormat chart="17" format="12">
      <pivotArea type="data" outline="0" fieldPosition="0">
        <references count="3">
          <reference field="4294967294" count="1" selected="0">
            <x v="0"/>
          </reference>
          <reference field="9" count="1" selected="0">
            <x v="2"/>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2A4668-0049-4193-BAA4-AF6385DC130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Performance">
  <location ref="P23:Q31" firstHeaderRow="1" firstDataRow="1" firstDataCol="1"/>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dataField="1"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19"/>
  </rowFields>
  <rowItems count="8">
    <i>
      <x v="1"/>
    </i>
    <i>
      <x v="2"/>
    </i>
    <i>
      <x v="3"/>
    </i>
    <i>
      <x v="4"/>
    </i>
    <i>
      <x v="5"/>
    </i>
    <i>
      <x v="6"/>
    </i>
    <i>
      <x v="7"/>
    </i>
    <i>
      <x v="8"/>
    </i>
  </rowItems>
  <colItems count="1">
    <i/>
  </colItems>
  <dataFields count="1">
    <dataField name="Average of PerformanceScore" fld="8" subtotal="average" baseField="0" baseItem="0"/>
  </dataFields>
  <formats count="1">
    <format dxfId="26">
      <pivotArea outline="0" collapsedLevelsAreSubtotals="1" fieldPosition="0"/>
    </format>
  </formats>
  <chartFormats count="7">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19" count="1" selected="0">
            <x v="2"/>
          </reference>
        </references>
      </pivotArea>
    </chartFormat>
    <chartFormat chart="28" format="4">
      <pivotArea type="data" outline="0" fieldPosition="0">
        <references count="2">
          <reference field="4294967294" count="1" selected="0">
            <x v="0"/>
          </reference>
          <reference field="19" count="1" selected="0">
            <x v="1"/>
          </reference>
        </references>
      </pivotArea>
    </chartFormat>
    <chartFormat chart="28" format="5">
      <pivotArea type="data" outline="0" fieldPosition="0">
        <references count="2">
          <reference field="4294967294" count="1" selected="0">
            <x v="0"/>
          </reference>
          <reference field="19" count="1" selected="0">
            <x v="6"/>
          </reference>
        </references>
      </pivotArea>
    </chartFormat>
    <chartFormat chart="28" format="6">
      <pivotArea type="data" outline="0" fieldPosition="0">
        <references count="2">
          <reference field="4294967294" count="1" selected="0">
            <x v="0"/>
          </reference>
          <reference field="19" count="1" selected="0">
            <x v="7"/>
          </reference>
        </references>
      </pivotArea>
    </chartFormat>
    <chartFormat chart="28" format="7">
      <pivotArea type="data" outline="0" fieldPosition="0">
        <references count="2">
          <reference field="4294967294" count="1" selected="0">
            <x v="0"/>
          </reference>
          <reference field="1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094922-3934-4BEE-8B88-C42DBB36038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8:D14" firstHeaderRow="1" firstDataRow="1" firstDataCol="1"/>
  <pivotFields count="20">
    <pivotField showAll="0"/>
    <pivotField showAll="0"/>
    <pivotField axis="axisRow"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6">
    <i>
      <x/>
    </i>
    <i>
      <x v="1"/>
    </i>
    <i>
      <x v="2"/>
    </i>
    <i>
      <x v="3"/>
    </i>
    <i>
      <x v="4"/>
    </i>
    <i>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21A8C3-91DD-48BE-87E8-9C5BA7B40D76}" name="Average of PerformanceScor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7:H52" firstHeaderRow="1" firstDataRow="1" firstDataCol="1"/>
  <pivotFields count="20">
    <pivotField showAll="0"/>
    <pivotField showAll="0"/>
    <pivotField showAll="0">
      <items count="7">
        <item x="3"/>
        <item x="2"/>
        <item x="5"/>
        <item x="4"/>
        <item x="0"/>
        <item x="1"/>
        <item t="default"/>
      </items>
    </pivotField>
    <pivotField axis="axisRow"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dataField="1" showAll="0"/>
    <pivotField showAll="0">
      <items count="5">
        <item x="1"/>
        <item x="3"/>
        <item x="0"/>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Average of PerformanceScore" fld="8" subtotal="average" baseField="0" baseItem="0" numFmtId="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33351D-B608-4A2F-B1B5-D0F1A667A20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Performance">
  <location ref="M31:N35" firstHeaderRow="1" firstDataRow="1" firstDataCol="1"/>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axis="axisRow" showAll="0">
      <items count="5">
        <item x="1"/>
        <item x="0"/>
        <item x="2"/>
        <item x="3"/>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9"/>
  </rowFields>
  <rowItems count="4">
    <i>
      <x/>
    </i>
    <i>
      <x v="1"/>
    </i>
    <i>
      <x v="2"/>
    </i>
    <i>
      <x v="3"/>
    </i>
  </rowItems>
  <colItems count="1">
    <i/>
  </colItems>
  <dataFields count="1">
    <dataField name="Average of TrainingHours" fld="14" subtotal="average" baseField="10" baseItem="0"/>
  </dataFields>
  <formats count="1">
    <format dxfId="28">
      <pivotArea outline="0" collapsedLevelsAreSubtotals="1" fieldPosition="0"/>
    </format>
  </formats>
  <chartFormats count="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9" count="1" selected="0">
            <x v="2"/>
          </reference>
        </references>
      </pivotArea>
    </chartFormat>
    <chartFormat chart="21" format="2">
      <pivotArea type="data" outline="0" fieldPosition="0">
        <references count="2">
          <reference field="4294967294" count="1" selected="0">
            <x v="0"/>
          </reference>
          <reference field="9" count="1" selected="0">
            <x v="1"/>
          </reference>
        </references>
      </pivotArea>
    </chartFormat>
    <chartFormat chart="27" format="15" series="1">
      <pivotArea type="data" outline="0" fieldPosition="0">
        <references count="1">
          <reference field="4294967294" count="1" selected="0">
            <x v="0"/>
          </reference>
        </references>
      </pivotArea>
    </chartFormat>
    <chartFormat chart="27" format="16">
      <pivotArea type="data" outline="0" fieldPosition="0">
        <references count="2">
          <reference field="4294967294" count="1" selected="0">
            <x v="0"/>
          </reference>
          <reference field="9" count="1" selected="0">
            <x v="0"/>
          </reference>
        </references>
      </pivotArea>
    </chartFormat>
    <chartFormat chart="27" format="17">
      <pivotArea type="data" outline="0" fieldPosition="0">
        <references count="2">
          <reference field="4294967294" count="1" selected="0">
            <x v="0"/>
          </reference>
          <reference field="9" count="1" selected="0">
            <x v="1"/>
          </reference>
        </references>
      </pivotArea>
    </chartFormat>
    <chartFormat chart="27" format="18">
      <pivotArea type="data" outline="0" fieldPosition="0">
        <references count="2">
          <reference field="4294967294" count="1" selected="0">
            <x v="0"/>
          </reference>
          <reference field="9" count="1" selected="0">
            <x v="2"/>
          </reference>
        </references>
      </pivotArea>
    </chartFormat>
    <chartFormat chart="27" format="19">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34E488-A78E-428D-AB7F-5CB20BAEC482}" name="Average of AbsenceDays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G21" firstHeaderRow="1" firstDataRow="1" firstDataCol="0"/>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AbsenceDays" fld="12" subtotal="average"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CC3DC7-DE69-4960-8ECA-CC2A538B0D6E}"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Performance">
  <location ref="M4:N8" firstHeaderRow="1" firstDataRow="1" firstDataCol="1"/>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axis="axisRow" showAll="0">
      <items count="5">
        <item x="1"/>
        <item x="0"/>
        <item x="2"/>
        <item x="3"/>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9"/>
  </rowFields>
  <rowItems count="4">
    <i>
      <x/>
    </i>
    <i>
      <x v="1"/>
    </i>
    <i>
      <x v="2"/>
    </i>
    <i>
      <x v="3"/>
    </i>
  </rowItems>
  <colItems count="1">
    <i/>
  </colItems>
  <dataFields count="1">
    <dataField name="Average of AbsenceDays" fld="12" subtotal="average" baseField="10" baseItem="0"/>
  </dataFields>
  <formats count="1">
    <format dxfId="30">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F345F9-E8D3-4AA9-9BE7-B539184CE2BF}" name="Average of AbsenceDays by depart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26:H32" firstHeaderRow="1" firstDataRow="1" firstDataCol="1"/>
  <pivotFields count="20">
    <pivotField showAll="0"/>
    <pivotField showAll="0"/>
    <pivotField axis="axisRow"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6">
    <i>
      <x/>
    </i>
    <i>
      <x v="1"/>
    </i>
    <i>
      <x v="2"/>
    </i>
    <i>
      <x v="3"/>
    </i>
    <i>
      <x v="4"/>
    </i>
    <i>
      <x v="5"/>
    </i>
  </rowItems>
  <colItems count="1">
    <i/>
  </colItems>
  <dataFields count="1">
    <dataField name="Average of AbsenceDays" fld="12" subtotal="average" baseField="0" baseItem="0"/>
  </dataFields>
  <formats count="1">
    <format dxfId="3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F82459-C627-4C99-ABC6-9676C23DF7D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G15" firstHeaderRow="1" firstDataRow="1" firstDataCol="0"/>
  <pivotFields count="20">
    <pivotField showAll="0"/>
    <pivotField showAll="0"/>
    <pivotField showAll="0">
      <items count="7">
        <item x="3"/>
        <item x="2"/>
        <item x="5"/>
        <item x="4"/>
        <item x="0"/>
        <item x="1"/>
        <item t="default"/>
      </items>
    </pivotField>
    <pivotField showAll="0">
      <items count="16">
        <item x="10"/>
        <item x="11"/>
        <item x="9"/>
        <item x="8"/>
        <item x="12"/>
        <item x="6"/>
        <item x="13"/>
        <item x="3"/>
        <item x="14"/>
        <item x="4"/>
        <item x="5"/>
        <item x="0"/>
        <item x="2"/>
        <item x="1"/>
        <item x="7"/>
        <item t="default"/>
      </items>
    </pivotField>
    <pivotField showAll="0"/>
    <pivotField showAll="0"/>
    <pivotField numFmtId="14" showAll="0">
      <items count="195">
        <item x="10"/>
        <item x="128"/>
        <item x="170"/>
        <item x="16"/>
        <item x="165"/>
        <item x="100"/>
        <item x="37"/>
        <item x="70"/>
        <item x="151"/>
        <item x="163"/>
        <item x="115"/>
        <item x="111"/>
        <item x="75"/>
        <item x="149"/>
        <item x="50"/>
        <item x="13"/>
        <item x="140"/>
        <item x="81"/>
        <item x="110"/>
        <item x="20"/>
        <item x="124"/>
        <item x="168"/>
        <item x="120"/>
        <item x="95"/>
        <item x="36"/>
        <item x="185"/>
        <item x="108"/>
        <item x="169"/>
        <item x="58"/>
        <item x="127"/>
        <item x="57"/>
        <item x="32"/>
        <item x="189"/>
        <item x="176"/>
        <item x="53"/>
        <item x="132"/>
        <item x="0"/>
        <item x="186"/>
        <item x="193"/>
        <item x="183"/>
        <item x="166"/>
        <item x="61"/>
        <item x="24"/>
        <item x="76"/>
        <item x="22"/>
        <item x="88"/>
        <item x="5"/>
        <item x="133"/>
        <item x="90"/>
        <item x="49"/>
        <item x="71"/>
        <item x="27"/>
        <item x="188"/>
        <item x="46"/>
        <item x="117"/>
        <item x="106"/>
        <item x="7"/>
        <item x="154"/>
        <item x="160"/>
        <item x="153"/>
        <item x="102"/>
        <item x="63"/>
        <item x="47"/>
        <item x="157"/>
        <item x="43"/>
        <item x="41"/>
        <item x="26"/>
        <item x="15"/>
        <item x="79"/>
        <item x="174"/>
        <item x="181"/>
        <item x="9"/>
        <item x="28"/>
        <item x="138"/>
        <item x="103"/>
        <item x="17"/>
        <item x="66"/>
        <item x="129"/>
        <item x="141"/>
        <item x="177"/>
        <item x="30"/>
        <item x="182"/>
        <item x="136"/>
        <item x="155"/>
        <item x="122"/>
        <item x="172"/>
        <item x="135"/>
        <item x="6"/>
        <item x="167"/>
        <item x="139"/>
        <item x="105"/>
        <item x="2"/>
        <item x="65"/>
        <item x="48"/>
        <item x="109"/>
        <item x="137"/>
        <item x="187"/>
        <item x="93"/>
        <item x="99"/>
        <item x="87"/>
        <item x="159"/>
        <item x="114"/>
        <item x="25"/>
        <item x="191"/>
        <item x="77"/>
        <item x="184"/>
        <item x="86"/>
        <item x="125"/>
        <item x="74"/>
        <item x="12"/>
        <item x="67"/>
        <item x="40"/>
        <item x="144"/>
        <item x="112"/>
        <item x="156"/>
        <item x="89"/>
        <item x="73"/>
        <item x="55"/>
        <item x="143"/>
        <item x="14"/>
        <item x="60"/>
        <item x="161"/>
        <item x="134"/>
        <item x="190"/>
        <item x="72"/>
        <item x="91"/>
        <item x="126"/>
        <item x="152"/>
        <item x="85"/>
        <item x="23"/>
        <item x="69"/>
        <item x="180"/>
        <item x="83"/>
        <item x="171"/>
        <item x="59"/>
        <item x="150"/>
        <item x="35"/>
        <item x="178"/>
        <item x="4"/>
        <item x="107"/>
        <item x="68"/>
        <item x="158"/>
        <item x="142"/>
        <item x="54"/>
        <item x="84"/>
        <item x="51"/>
        <item x="173"/>
        <item x="192"/>
        <item x="38"/>
        <item x="44"/>
        <item x="64"/>
        <item x="145"/>
        <item x="97"/>
        <item x="147"/>
        <item x="130"/>
        <item x="148"/>
        <item x="121"/>
        <item x="80"/>
        <item x="101"/>
        <item x="164"/>
        <item x="116"/>
        <item x="11"/>
        <item x="175"/>
        <item x="29"/>
        <item x="21"/>
        <item x="113"/>
        <item x="146"/>
        <item x="118"/>
        <item x="119"/>
        <item x="96"/>
        <item x="104"/>
        <item x="34"/>
        <item x="179"/>
        <item x="94"/>
        <item x="78"/>
        <item x="56"/>
        <item x="33"/>
        <item x="123"/>
        <item x="62"/>
        <item x="18"/>
        <item x="92"/>
        <item x="39"/>
        <item x="45"/>
        <item x="19"/>
        <item x="8"/>
        <item x="98"/>
        <item x="1"/>
        <item x="52"/>
        <item x="31"/>
        <item x="42"/>
        <item x="131"/>
        <item x="3"/>
        <item x="162"/>
        <item x="82"/>
        <item t="default"/>
      </items>
    </pivotField>
    <pivotField showAll="0"/>
    <pivotField showAll="0"/>
    <pivotField showAll="0">
      <items count="5">
        <item x="1"/>
        <item x="3"/>
        <item x="0"/>
        <item x="2"/>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EngagementScore" fld="11" subtotal="average"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E4DA98-0CA2-44D6-9910-EC544EE11CDD}" autoFormatId="16" applyNumberFormats="0" applyBorderFormats="0" applyFontFormats="0" applyPatternFormats="0" applyAlignmentFormats="0" applyWidthHeightFormats="0">
  <queryTableRefresh nextId="17">
    <queryTableFields count="16">
      <queryTableField id="1" name="EmployeeID" tableColumnId="17"/>
      <queryTableField id="2" name="Name" tableColumnId="2"/>
      <queryTableField id="3" name="Department" tableColumnId="3"/>
      <queryTableField id="4" name="JobRole" tableColumnId="4"/>
      <queryTableField id="5" name="Gender" tableColumnId="5"/>
      <queryTableField id="6" name="Age" tableColumnId="6"/>
      <queryTableField id="7" name="HireDate" tableColumnId="7"/>
      <queryTableField id="8" name="ExitDate" tableColumnId="8"/>
      <queryTableField id="9" name="Salary" tableColumnId="9"/>
      <queryTableField id="10" name="PerformanceScore" tableColumnId="10"/>
      <queryTableField id="11" name="SatisfactionScore" tableColumnId="11"/>
      <queryTableField id="12" name="EngagementScore" tableColumnId="12"/>
      <queryTableField id="13" name="AbsenceDays" tableColumnId="13"/>
      <queryTableField id="14" name="OvertimeHours" tableColumnId="14"/>
      <queryTableField id="15" name="TrainingHours" tableColumnId="15"/>
      <queryTableField id="16" name="TrainingCos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28655FE-AA17-4CE5-91C2-58563800D046}" autoFormatId="16" applyNumberFormats="0" applyBorderFormats="0" applyFontFormats="0" applyPatternFormats="0" applyAlignmentFormats="0" applyWidthHeightFormats="0">
  <queryTableRefresh nextId="17">
    <queryTableFields count="16">
      <queryTableField id="1" name="EmployeeID" tableColumnId="17"/>
      <queryTableField id="2" name="Name" tableColumnId="2"/>
      <queryTableField id="3" name="Department" tableColumnId="3"/>
      <queryTableField id="4" name="JobRole" tableColumnId="4"/>
      <queryTableField id="5" name="Gender" tableColumnId="5"/>
      <queryTableField id="6" name="Age" tableColumnId="6"/>
      <queryTableField id="7" name="HireDate" tableColumnId="7"/>
      <queryTableField id="8" name="ExitDate" tableColumnId="8"/>
      <queryTableField id="9" name="Salary" tableColumnId="9"/>
      <queryTableField id="10" name="PerformanceScore" tableColumnId="10"/>
      <queryTableField id="11" name="SatisfactionScore" tableColumnId="11"/>
      <queryTableField id="12" name="EngagementScore" tableColumnId="12"/>
      <queryTableField id="13" name="AbsenceDays" tableColumnId="13"/>
      <queryTableField id="14" name="OvertimeHours" tableColumnId="14"/>
      <queryTableField id="15" name="TrainingHours" tableColumnId="15"/>
      <queryTableField id="16" name="TrainingCos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2A88C7E-134E-47C8-B667-B3F700EE4C77}" autoFormatId="16" applyNumberFormats="0" applyBorderFormats="0" applyFontFormats="0" applyPatternFormats="0" applyAlignmentFormats="0" applyWidthHeightFormats="0">
  <queryTableRefresh nextId="20">
    <queryTableFields count="17">
      <queryTableField id="1" name="EmployeeID" tableColumnId="17"/>
      <queryTableField id="2" name="Name" tableColumnId="2"/>
      <queryTableField id="3" name="Department" tableColumnId="3"/>
      <queryTableField id="4" name="JobRole" tableColumnId="4"/>
      <queryTableField id="5" name="Gender" tableColumnId="5"/>
      <queryTableField id="6" name="Age" tableColumnId="6"/>
      <queryTableField id="7" name="HireDate" tableColumnId="7"/>
      <queryTableField id="9" name="Salary" tableColumnId="9"/>
      <queryTableField id="10" name="PerformanceScore" tableColumnId="10"/>
      <queryTableField id="18" name="Performance" tableColumnId="19"/>
      <queryTableField id="11" name="SatisfactionScore" tableColumnId="11"/>
      <queryTableField id="12" name="EngagementScore" tableColumnId="12"/>
      <queryTableField id="13" name="AbsenceDays" tableColumnId="13"/>
      <queryTableField id="14" name="OvertimeHours" tableColumnId="14"/>
      <queryTableField id="15" name="TrainingHours" tableColumnId="15"/>
      <queryTableField id="16" name="TrainingCost" tableColumnId="16"/>
      <queryTableField id="17" name="Training cost 2"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1D5BB3-65A0-41FA-9697-82E595160B7F}" sourceName="Department">
  <pivotTables>
    <pivotTable tabId="6" name="Average of AbsenceDays by department"/>
    <pivotTable tabId="6" name="Average of AbsenceDays1"/>
    <pivotTable tabId="6" name="Average of PerformanceScore"/>
    <pivotTable tabId="6" name="PivotTable1"/>
    <pivotTable tabId="6" name="PivotTable10"/>
    <pivotTable tabId="6" name="PivotTable11"/>
    <pivotTable tabId="6" name="PivotTable12"/>
    <pivotTable tabId="6" name="PivotTable13"/>
    <pivotTable tabId="6" name="PivotTable17"/>
    <pivotTable tabId="6" name="PivotTable19"/>
    <pivotTable tabId="6" name="PivotTable2"/>
    <pivotTable tabId="6" name="PivotTable3"/>
    <pivotTable tabId="6" name="PivotTable4"/>
    <pivotTable tabId="6" name="PivotTable5"/>
    <pivotTable tabId="6" name="PivotTable8"/>
    <pivotTable tabId="6" name="PivotTable9"/>
  </pivotTables>
  <data>
    <tabular pivotCacheId="162639500">
      <items count="6">
        <i x="3" s="1"/>
        <i x="2" s="1"/>
        <i x="5"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E86BC4E-C9A9-4125-977F-17C020923BD6}" sourceName="JobRole">
  <pivotTables>
    <pivotTable tabId="6" name="Average of AbsenceDays by department"/>
    <pivotTable tabId="6" name="Average of AbsenceDays1"/>
    <pivotTable tabId="6" name="Average of PerformanceScore"/>
    <pivotTable tabId="6" name="PivotTable1"/>
    <pivotTable tabId="6" name="PivotTable10"/>
    <pivotTable tabId="6" name="PivotTable11"/>
    <pivotTable tabId="6" name="PivotTable12"/>
    <pivotTable tabId="6" name="PivotTable13"/>
    <pivotTable tabId="6" name="PivotTable17"/>
    <pivotTable tabId="6" name="PivotTable19"/>
    <pivotTable tabId="6" name="PivotTable2"/>
    <pivotTable tabId="6" name="PivotTable3"/>
    <pivotTable tabId="6" name="PivotTable4"/>
    <pivotTable tabId="6" name="PivotTable5"/>
    <pivotTable tabId="6" name="PivotTable9"/>
    <pivotTable tabId="6" name="PivotTable8"/>
  </pivotTables>
  <data>
    <tabular pivotCacheId="162639500">
      <items count="15">
        <i x="10" s="1"/>
        <i x="11" s="1"/>
        <i x="9" s="1"/>
        <i x="8" s="1"/>
        <i x="12" s="1"/>
        <i x="6" s="1"/>
        <i x="13" s="1"/>
        <i x="3" s="1"/>
        <i x="14" s="1"/>
        <i x="4" s="1"/>
        <i x="5" s="1"/>
        <i x="0" s="1"/>
        <i x="2"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F0FF7C9A-8E81-4B53-8738-869B915F7E84}" sourceName="Performance">
  <pivotTables>
    <pivotTable tabId="6" name="Average of AbsenceDays by department"/>
    <pivotTable tabId="6" name="Average of AbsenceDays1"/>
    <pivotTable tabId="6" name="Average of PerformanceScore"/>
    <pivotTable tabId="6" name="PivotTable10"/>
    <pivotTable tabId="6" name="PivotTable11"/>
    <pivotTable tabId="6" name="PivotTable12"/>
    <pivotTable tabId="6" name="PivotTable13"/>
    <pivotTable tabId="6" name="PivotTable17"/>
    <pivotTable tabId="6" name="PivotTable19"/>
    <pivotTable tabId="6" name="PivotTable4"/>
    <pivotTable tabId="6" name="PivotTable5"/>
    <pivotTable tabId="6" name="PivotTable9"/>
    <pivotTable tabId="6" name="PivotTable1"/>
    <pivotTable tabId="6" name="PivotTable2"/>
    <pivotTable tabId="6" name="PivotTable3"/>
    <pivotTable tabId="6" name="PivotTable8"/>
  </pivotTables>
  <data>
    <tabular pivotCacheId="162639500">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5369E97-E9C4-4359-88A4-F5CC0FD1E862}" cache="Slicer_Department" caption="Department" columnCount="2" style="Slicer Style 2" rowHeight="241300"/>
  <slicer name="JobRole 1" xr10:uid="{F9AB4C05-19B6-4C92-9F4E-AED19432E42E}" cache="Slicer_JobRole" caption="JobRole" columnCount="2" style="Slicer Style 2" rowHeight="241300"/>
  <slicer name="Performance 1" xr10:uid="{1844B5B4-7E69-44D8-9C29-A053E8F84814}" cache="Slicer_Performance" caption="Performance" columnCount="2"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27DF551E-84E4-4571-89AD-7F9C5B7C9E4F}" cache="Slicer_Department" caption="Department" columnCount="2" style="Slicer Style 2" rowHeight="241300"/>
  <slicer name="JobRole 2" xr10:uid="{2A41FB2D-55FA-49CD-BB71-E624710D8D92}" cache="Slicer_JobRole" caption="JobRole" columnCount="2" style="Slicer Style 2" rowHeight="241300"/>
  <slicer name="Performance 2" xr10:uid="{5FC4BA4A-F55D-44E1-8943-7C0F40519C23}" cache="Slicer_Performance" caption="Performance" columnCount="2"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E1B2D-1AB9-43E5-9F6F-D5E67E66CB5C}" name="_1" displayName="_1" ref="A1:P110" tableType="queryTable" totalsRowShown="0">
  <autoFilter ref="A1:P110" xr:uid="{412E1B2D-1AB9-43E5-9F6F-D5E67E66CB5C}"/>
  <tableColumns count="16">
    <tableColumn id="17" xr3:uid="{EC2E94CB-FBC2-44F4-84E9-BAE1BC3392EB}" uniqueName="17" name="EmployeeID" queryTableFieldId="1"/>
    <tableColumn id="2" xr3:uid="{3290F8F9-D2F0-4F48-A9E0-F3A52F932B15}" uniqueName="2" name="Name" queryTableFieldId="2" dataDxfId="18"/>
    <tableColumn id="3" xr3:uid="{09C42C43-7995-4BF8-9A5A-6647D7D3DC4F}" uniqueName="3" name="Department" queryTableFieldId="3" dataDxfId="17"/>
    <tableColumn id="4" xr3:uid="{96EC41A3-BA4A-4D1B-B5E7-3D041C9D2042}" uniqueName="4" name="JobRole" queryTableFieldId="4" dataDxfId="16"/>
    <tableColumn id="5" xr3:uid="{E4520764-38B4-48E1-9959-363E8EE91B06}" uniqueName="5" name="Gender" queryTableFieldId="5" dataDxfId="15"/>
    <tableColumn id="6" xr3:uid="{A97D0445-7235-491A-B1A9-D7D249C5624B}" uniqueName="6" name="Age" queryTableFieldId="6"/>
    <tableColumn id="7" xr3:uid="{E1823742-F223-4331-87FC-AA459E0E1684}" uniqueName="7" name="HireDate" queryTableFieldId="7" dataDxfId="14"/>
    <tableColumn id="8" xr3:uid="{6E45427B-7045-4554-B748-A5060027B325}" uniqueName="8" name="ExitDate" queryTableFieldId="8" dataDxfId="13"/>
    <tableColumn id="9" xr3:uid="{C91FD8EC-7506-48E5-80F9-1D89C3F1FDF3}" uniqueName="9" name="Salary" queryTableFieldId="9"/>
    <tableColumn id="10" xr3:uid="{B525F37C-3D37-42AB-9706-B3C8B4AB30A6}" uniqueName="10" name="PerformanceScore" queryTableFieldId="10"/>
    <tableColumn id="11" xr3:uid="{6B199C49-B871-4E25-9E20-6D7401BC34C8}" uniqueName="11" name="SatisfactionScore" queryTableFieldId="11"/>
    <tableColumn id="12" xr3:uid="{59FC434A-D6FE-46B0-A5AD-A0E5D89F20AE}" uniqueName="12" name="EngagementScore" queryTableFieldId="12"/>
    <tableColumn id="13" xr3:uid="{989E4CD5-8A4E-48B7-9946-0C9EEFB1A80B}" uniqueName="13" name="AbsenceDays" queryTableFieldId="13"/>
    <tableColumn id="14" xr3:uid="{2FFCA609-5597-46CE-9FFB-DDE6EB28C922}" uniqueName="14" name="OvertimeHours" queryTableFieldId="14"/>
    <tableColumn id="15" xr3:uid="{801B670E-9E55-4B79-9E19-D479C95D0FDB}" uniqueName="15" name="TrainingHours" queryTableFieldId="15"/>
    <tableColumn id="16" xr3:uid="{4083A28D-C77E-4DA5-B6CA-9317188DC2CA}" uniqueName="16" name="TrainingCost"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481C3D-D3CB-474E-BCA9-AE3B5F4DA3B5}" name="_2" displayName="_2" ref="A1:P92" tableType="queryTable" totalsRowShown="0">
  <autoFilter ref="A1:P92" xr:uid="{0F481C3D-D3CB-474E-BCA9-AE3B5F4DA3B5}"/>
  <tableColumns count="16">
    <tableColumn id="17" xr3:uid="{8DC72CA6-BABC-4E8E-8ADB-00F755796042}" uniqueName="17" name="EmployeeID" queryTableFieldId="1"/>
    <tableColumn id="2" xr3:uid="{36631EFD-A335-4244-8214-3F8FA45A09CE}" uniqueName="2" name="Name" queryTableFieldId="2" dataDxfId="12"/>
    <tableColumn id="3" xr3:uid="{590CC56C-E3B8-46DF-B074-D69FF9481183}" uniqueName="3" name="Department" queryTableFieldId="3" dataDxfId="11"/>
    <tableColumn id="4" xr3:uid="{214A3C69-18DE-413F-A65C-178700A0EA7E}" uniqueName="4" name="JobRole" queryTableFieldId="4" dataDxfId="10"/>
    <tableColumn id="5" xr3:uid="{E4EBB61B-9CDA-436D-8747-6ACE2AD57F87}" uniqueName="5" name="Gender" queryTableFieldId="5" dataDxfId="9"/>
    <tableColumn id="6" xr3:uid="{FAD28C2A-01D9-4BAD-97F7-0916E573D2F2}" uniqueName="6" name="Age" queryTableFieldId="6"/>
    <tableColumn id="7" xr3:uid="{CECC6BBF-349B-4785-94A4-DB3AB7EE1B9D}" uniqueName="7" name="HireDate" queryTableFieldId="7" dataDxfId="8"/>
    <tableColumn id="8" xr3:uid="{58294E2B-57D3-4B2F-ACD1-E8A6E5205457}" uniqueName="8" name="ExitDate" queryTableFieldId="8" dataDxfId="7"/>
    <tableColumn id="9" xr3:uid="{0885ADDD-04E6-43D7-A078-31B7CDFE1E30}" uniqueName="9" name="Salary" queryTableFieldId="9"/>
    <tableColumn id="10" xr3:uid="{FBA0A877-C65C-4F07-B829-CB1312E9B30A}" uniqueName="10" name="PerformanceScore" queryTableFieldId="10"/>
    <tableColumn id="11" xr3:uid="{0557E513-6E5D-4075-9FE0-5C68440920B2}" uniqueName="11" name="SatisfactionScore" queryTableFieldId="11"/>
    <tableColumn id="12" xr3:uid="{3D98955A-A2EF-4457-802B-E6A6A67E95BF}" uniqueName="12" name="EngagementScore" queryTableFieldId="12"/>
    <tableColumn id="13" xr3:uid="{A511398B-0422-4B0A-B99B-94CF455BB636}" uniqueName="13" name="AbsenceDays" queryTableFieldId="13"/>
    <tableColumn id="14" xr3:uid="{37B0CF26-3214-43B3-8C30-D0D3C4DF17D7}" uniqueName="14" name="OvertimeHours" queryTableFieldId="14"/>
    <tableColumn id="15" xr3:uid="{D14CC697-71D0-4442-85DB-26181BBA868D}" uniqueName="15" name="TrainingHours" queryTableFieldId="15"/>
    <tableColumn id="16" xr3:uid="{7DFB53AC-2B33-42CB-8AB5-630972D15B40}" uniqueName="16" name="TrainingCost" queryTableField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D0D18-8A94-4C36-8F24-EEB4CB1BF061}" name="Dataset" displayName="Dataset" ref="A1:Q201" tableType="queryTable" totalsRowShown="0">
  <autoFilter ref="A1:Q201" xr:uid="{FE1D0D18-8A94-4C36-8F24-EEB4CB1BF061}"/>
  <tableColumns count="17">
    <tableColumn id="17" xr3:uid="{3A02417E-F402-4747-9501-A1E7D7ED2283}" uniqueName="17" name="EmployeeID" queryTableFieldId="1"/>
    <tableColumn id="2" xr3:uid="{BFACC753-DCCD-453B-ABF4-CD24DBCA9219}" uniqueName="2" name="Name" queryTableFieldId="2" dataDxfId="6"/>
    <tableColumn id="3" xr3:uid="{FE263A87-4FCB-4FAF-AD40-9A0077AB9737}" uniqueName="3" name="Department" queryTableFieldId="3" dataDxfId="5"/>
    <tableColumn id="4" xr3:uid="{DC7EECCB-47AD-4156-8D98-B2ED54A1BF5B}" uniqueName="4" name="JobRole" queryTableFieldId="4" dataDxfId="4"/>
    <tableColumn id="5" xr3:uid="{6CA10A48-868B-42A6-BF1B-B88BD4C69052}" uniqueName="5" name="Gender" queryTableFieldId="5" dataDxfId="3"/>
    <tableColumn id="6" xr3:uid="{ACF864B0-161E-45BB-8159-BAB4706380F2}" uniqueName="6" name="Age" queryTableFieldId="6"/>
    <tableColumn id="7" xr3:uid="{405F15C4-9276-43BB-BC2A-E9BBF83607D9}" uniqueName="7" name="HireDate" queryTableFieldId="7" dataDxfId="2"/>
    <tableColumn id="9" xr3:uid="{500E1866-686B-47A3-9656-DE45944C4107}" uniqueName="9" name="Salary" queryTableFieldId="9"/>
    <tableColumn id="10" xr3:uid="{C1D20168-F01A-4783-BD64-376ECD846C48}" uniqueName="10" name="PerformanceScore" queryTableFieldId="10"/>
    <tableColumn id="19" xr3:uid="{2BB23D8D-CA5C-4DD1-A84B-2C7234F1DC99}" uniqueName="19" name="Performance" queryTableFieldId="18" dataDxfId="1"/>
    <tableColumn id="11" xr3:uid="{7C9546E2-D340-423C-878D-742D6B4534E7}" uniqueName="11" name="SatisfactionScore" queryTableFieldId="11"/>
    <tableColumn id="12" xr3:uid="{77D7DE01-AA0C-4875-8827-25BDAFC89B71}" uniqueName="12" name="EngagementScore" queryTableFieldId="12"/>
    <tableColumn id="13" xr3:uid="{E328A18E-5E54-4C3F-B159-4D9C5A0B218E}" uniqueName="13" name="AbsenceDays" queryTableFieldId="13"/>
    <tableColumn id="14" xr3:uid="{43749DF4-13BE-407C-82B7-B8BE0EA8D22A}" uniqueName="14" name="OvertimeHours" queryTableFieldId="14"/>
    <tableColumn id="15" xr3:uid="{B6FC75AD-98F9-4776-8155-8C23A12FE5E6}" uniqueName="15" name="TrainingHours" queryTableFieldId="15"/>
    <tableColumn id="16" xr3:uid="{0ED8CD34-CFD3-4035-8BEA-6E7E25D15567}" uniqueName="16" name="TrainingCost" queryTableFieldId="16"/>
    <tableColumn id="18" xr3:uid="{EED0D601-AA91-4C52-BA31-EAEC11563380}" uniqueName="18" name="Training cost 2" queryTableFieldId="17"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D66BD9-4AFF-4662-97D5-F9076A02EE43}" name="Table4" displayName="Table4" ref="A1:B14" totalsRowShown="0">
  <autoFilter ref="A1:B14" xr:uid="{C4D66BD9-4AFF-4662-97D5-F9076A02EE43}"/>
  <tableColumns count="2">
    <tableColumn id="1" xr3:uid="{68221D35-270B-4EC9-87D5-6EF2CD03D305}" name="KPI"/>
    <tableColumn id="2" xr3:uid="{B924783A-A3F5-432E-83A0-5EF0A41A5501}" name="value" dataDxfId="19">
      <calculatedColumnFormula>GETPIVOTDATA("EmployeeID",$D$3)</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BA20-4343-48C1-9048-A2F96BF7B365}">
  <dimension ref="A1:P110"/>
  <sheetViews>
    <sheetView topLeftCell="A2" workbookViewId="0">
      <selection activeCell="A2" sqref="A2:A110"/>
    </sheetView>
  </sheetViews>
  <sheetFormatPr defaultRowHeight="14.5" x14ac:dyDescent="0.35"/>
  <cols>
    <col min="1" max="1" width="13.08984375" bestFit="1" customWidth="1"/>
    <col min="2" max="2" width="17.08984375" bestFit="1" customWidth="1"/>
    <col min="3" max="3" width="13.36328125" bestFit="1" customWidth="1"/>
    <col min="4" max="4" width="17.54296875" bestFit="1" customWidth="1"/>
    <col min="5" max="5" width="9.26953125" bestFit="1" customWidth="1"/>
    <col min="6" max="6" width="6.1796875" bestFit="1" customWidth="1"/>
    <col min="7" max="7" width="10.54296875" bestFit="1" customWidth="1"/>
    <col min="8" max="8" width="10.453125" bestFit="1" customWidth="1"/>
    <col min="9" max="9" width="8.08984375" bestFit="1" customWidth="1"/>
    <col min="10" max="10" width="18.54296875" bestFit="1" customWidth="1"/>
    <col min="11" max="11" width="17.453125" bestFit="1" customWidth="1"/>
    <col min="12" max="12" width="18.08984375" bestFit="1" customWidth="1"/>
    <col min="13" max="13" width="14.08984375" bestFit="1" customWidth="1"/>
    <col min="14" max="14" width="16" bestFit="1" customWidth="1"/>
    <col min="15" max="15" width="14.81640625" bestFit="1" customWidth="1"/>
    <col min="16" max="16" width="13.542968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v>
      </c>
      <c r="B2" t="s">
        <v>16</v>
      </c>
      <c r="C2" t="s">
        <v>17</v>
      </c>
      <c r="D2" t="s">
        <v>18</v>
      </c>
      <c r="E2" t="s">
        <v>19</v>
      </c>
      <c r="F2">
        <v>43</v>
      </c>
      <c r="G2" s="1">
        <v>43557</v>
      </c>
      <c r="H2" s="1">
        <v>44150</v>
      </c>
      <c r="I2">
        <v>12935</v>
      </c>
      <c r="J2">
        <v>2.72</v>
      </c>
      <c r="K2">
        <v>4</v>
      </c>
      <c r="L2">
        <v>1</v>
      </c>
      <c r="M2">
        <v>0</v>
      </c>
      <c r="N2">
        <v>5</v>
      </c>
      <c r="O2">
        <v>13</v>
      </c>
      <c r="P2">
        <v>576</v>
      </c>
    </row>
    <row r="3" spans="1:16" x14ac:dyDescent="0.35">
      <c r="A3">
        <v>2</v>
      </c>
      <c r="B3" t="s">
        <v>20</v>
      </c>
      <c r="C3" t="s">
        <v>21</v>
      </c>
      <c r="D3" t="s">
        <v>22</v>
      </c>
      <c r="E3" t="s">
        <v>23</v>
      </c>
      <c r="F3">
        <v>40</v>
      </c>
      <c r="G3" s="1">
        <v>45566</v>
      </c>
      <c r="H3" s="1"/>
      <c r="I3">
        <v>8557</v>
      </c>
      <c r="J3">
        <v>4.5199999999999996</v>
      </c>
      <c r="K3">
        <v>1</v>
      </c>
      <c r="L3">
        <v>2</v>
      </c>
      <c r="M3">
        <v>13</v>
      </c>
      <c r="N3">
        <v>21</v>
      </c>
      <c r="O3">
        <v>17</v>
      </c>
      <c r="P3">
        <v>418</v>
      </c>
    </row>
    <row r="4" spans="1:16" x14ac:dyDescent="0.35">
      <c r="A4">
        <v>3</v>
      </c>
      <c r="B4" t="s">
        <v>24</v>
      </c>
      <c r="C4" t="s">
        <v>25</v>
      </c>
      <c r="D4" t="s">
        <v>26</v>
      </c>
      <c r="E4" t="s">
        <v>23</v>
      </c>
      <c r="F4">
        <v>47</v>
      </c>
      <c r="G4" s="1">
        <v>44479</v>
      </c>
      <c r="H4" s="1">
        <v>45287</v>
      </c>
      <c r="I4">
        <v>4711</v>
      </c>
      <c r="J4">
        <v>4.32</v>
      </c>
      <c r="K4">
        <v>5</v>
      </c>
      <c r="L4">
        <v>1</v>
      </c>
      <c r="M4">
        <v>12</v>
      </c>
      <c r="N4">
        <v>5</v>
      </c>
      <c r="O4">
        <v>35</v>
      </c>
      <c r="P4">
        <v>700</v>
      </c>
    </row>
    <row r="5" spans="1:16" x14ac:dyDescent="0.35">
      <c r="A5">
        <v>4</v>
      </c>
      <c r="B5" t="s">
        <v>27</v>
      </c>
      <c r="C5" t="s">
        <v>17</v>
      </c>
      <c r="D5" t="s">
        <v>18</v>
      </c>
      <c r="E5" t="s">
        <v>19</v>
      </c>
      <c r="F5">
        <v>23</v>
      </c>
      <c r="G5" s="1">
        <v>45634</v>
      </c>
      <c r="H5" s="1"/>
      <c r="I5">
        <v>14834</v>
      </c>
      <c r="J5">
        <v>3.07</v>
      </c>
      <c r="K5">
        <v>3</v>
      </c>
      <c r="L5">
        <v>1</v>
      </c>
      <c r="M5">
        <v>7</v>
      </c>
      <c r="N5">
        <v>55</v>
      </c>
      <c r="O5">
        <v>6</v>
      </c>
      <c r="P5">
        <v>878</v>
      </c>
    </row>
    <row r="6" spans="1:16" x14ac:dyDescent="0.35">
      <c r="A6">
        <v>5</v>
      </c>
      <c r="B6" t="s">
        <v>28</v>
      </c>
      <c r="C6" t="s">
        <v>29</v>
      </c>
      <c r="D6" t="s">
        <v>30</v>
      </c>
      <c r="E6" t="s">
        <v>23</v>
      </c>
      <c r="F6">
        <v>28</v>
      </c>
      <c r="G6" s="1">
        <v>44958</v>
      </c>
      <c r="H6" s="1"/>
      <c r="I6">
        <v>14980</v>
      </c>
      <c r="J6">
        <v>3.17</v>
      </c>
      <c r="K6">
        <v>1</v>
      </c>
      <c r="L6">
        <v>5</v>
      </c>
      <c r="M6">
        <v>20</v>
      </c>
      <c r="N6">
        <v>10</v>
      </c>
      <c r="O6">
        <v>34</v>
      </c>
      <c r="P6">
        <v>1593</v>
      </c>
    </row>
    <row r="7" spans="1:16" x14ac:dyDescent="0.35">
      <c r="A7">
        <v>6</v>
      </c>
      <c r="B7" t="s">
        <v>31</v>
      </c>
      <c r="C7" t="s">
        <v>25</v>
      </c>
      <c r="D7" t="s">
        <v>32</v>
      </c>
      <c r="E7" t="s">
        <v>23</v>
      </c>
      <c r="F7">
        <v>48</v>
      </c>
      <c r="G7" s="1">
        <v>43770</v>
      </c>
      <c r="H7" s="1"/>
      <c r="I7">
        <v>4916</v>
      </c>
      <c r="J7">
        <v>3.07</v>
      </c>
      <c r="K7">
        <v>1</v>
      </c>
      <c r="L7">
        <v>3</v>
      </c>
      <c r="M7">
        <v>12</v>
      </c>
      <c r="N7">
        <v>17</v>
      </c>
      <c r="O7">
        <v>4</v>
      </c>
      <c r="P7">
        <v>532</v>
      </c>
    </row>
    <row r="8" spans="1:16" x14ac:dyDescent="0.35">
      <c r="A8">
        <v>7</v>
      </c>
      <c r="B8" t="s">
        <v>33</v>
      </c>
      <c r="C8" t="s">
        <v>21</v>
      </c>
      <c r="D8" t="s">
        <v>22</v>
      </c>
      <c r="E8" t="s">
        <v>23</v>
      </c>
      <c r="F8">
        <v>26</v>
      </c>
      <c r="G8" s="1">
        <v>44389</v>
      </c>
      <c r="H8" s="1">
        <v>45441</v>
      </c>
      <c r="I8">
        <v>8040</v>
      </c>
      <c r="J8">
        <v>4.3600000000000003</v>
      </c>
      <c r="K8">
        <v>5</v>
      </c>
      <c r="L8">
        <v>3</v>
      </c>
      <c r="M8">
        <v>18</v>
      </c>
      <c r="N8">
        <v>27</v>
      </c>
      <c r="O8">
        <v>37</v>
      </c>
      <c r="P8">
        <v>917</v>
      </c>
    </row>
    <row r="9" spans="1:16" x14ac:dyDescent="0.35">
      <c r="A9">
        <v>8</v>
      </c>
      <c r="B9" t="s">
        <v>34</v>
      </c>
      <c r="C9" t="s">
        <v>29</v>
      </c>
      <c r="D9" t="s">
        <v>30</v>
      </c>
      <c r="E9" t="s">
        <v>19</v>
      </c>
      <c r="F9">
        <v>46</v>
      </c>
      <c r="G9" s="1">
        <v>43999</v>
      </c>
      <c r="H9" s="1"/>
      <c r="I9">
        <v>4771</v>
      </c>
      <c r="J9">
        <v>4.6500000000000004</v>
      </c>
      <c r="K9">
        <v>2</v>
      </c>
      <c r="L9">
        <v>2</v>
      </c>
      <c r="M9">
        <v>13</v>
      </c>
      <c r="N9">
        <v>38</v>
      </c>
      <c r="O9">
        <v>4</v>
      </c>
      <c r="P9">
        <v>888</v>
      </c>
    </row>
    <row r="10" spans="1:16" x14ac:dyDescent="0.35">
      <c r="A10">
        <v>9</v>
      </c>
      <c r="B10" t="s">
        <v>35</v>
      </c>
      <c r="C10" t="s">
        <v>36</v>
      </c>
      <c r="D10" t="s">
        <v>37</v>
      </c>
      <c r="E10" t="s">
        <v>19</v>
      </c>
      <c r="F10">
        <v>43</v>
      </c>
      <c r="G10" s="1">
        <v>45541</v>
      </c>
      <c r="H10" s="1"/>
      <c r="I10">
        <v>12797</v>
      </c>
      <c r="J10">
        <v>4.38</v>
      </c>
      <c r="K10">
        <v>3</v>
      </c>
      <c r="L10">
        <v>1</v>
      </c>
      <c r="M10">
        <v>9</v>
      </c>
      <c r="N10">
        <v>27</v>
      </c>
      <c r="O10">
        <v>10</v>
      </c>
      <c r="P10">
        <v>1029</v>
      </c>
    </row>
    <row r="11" spans="1:16" x14ac:dyDescent="0.35">
      <c r="A11">
        <v>10</v>
      </c>
      <c r="B11" t="s">
        <v>38</v>
      </c>
      <c r="C11" t="s">
        <v>39</v>
      </c>
      <c r="D11" t="s">
        <v>40</v>
      </c>
      <c r="E11" t="s">
        <v>23</v>
      </c>
      <c r="F11">
        <v>48</v>
      </c>
      <c r="G11" s="1">
        <v>44179</v>
      </c>
      <c r="H11" s="1"/>
      <c r="I11">
        <v>14468</v>
      </c>
      <c r="J11">
        <v>3.77</v>
      </c>
      <c r="K11">
        <v>2</v>
      </c>
      <c r="L11">
        <v>2</v>
      </c>
      <c r="M11">
        <v>11</v>
      </c>
      <c r="N11">
        <v>48</v>
      </c>
      <c r="O11">
        <v>10</v>
      </c>
      <c r="P11">
        <v>1204</v>
      </c>
    </row>
    <row r="12" spans="1:16" x14ac:dyDescent="0.35">
      <c r="A12">
        <v>11</v>
      </c>
      <c r="B12" t="s">
        <v>54</v>
      </c>
      <c r="C12" t="s">
        <v>21</v>
      </c>
      <c r="D12" t="s">
        <v>22</v>
      </c>
      <c r="E12" t="s">
        <v>23</v>
      </c>
      <c r="F12">
        <v>50</v>
      </c>
      <c r="G12" s="1">
        <v>43103</v>
      </c>
      <c r="H12" s="1"/>
      <c r="I12">
        <v>9038</v>
      </c>
      <c r="J12">
        <v>3.1</v>
      </c>
      <c r="K12">
        <v>2</v>
      </c>
      <c r="L12">
        <v>5</v>
      </c>
      <c r="M12">
        <v>2</v>
      </c>
      <c r="N12">
        <v>5</v>
      </c>
      <c r="O12">
        <v>31</v>
      </c>
      <c r="P12">
        <v>1771</v>
      </c>
    </row>
    <row r="13" spans="1:16" x14ac:dyDescent="0.35">
      <c r="A13">
        <v>12</v>
      </c>
      <c r="B13" t="s">
        <v>55</v>
      </c>
      <c r="C13" t="s">
        <v>39</v>
      </c>
      <c r="D13" t="s">
        <v>56</v>
      </c>
      <c r="E13" t="s">
        <v>23</v>
      </c>
      <c r="F13">
        <v>38</v>
      </c>
      <c r="G13" s="1">
        <v>45282</v>
      </c>
      <c r="H13" s="1"/>
      <c r="I13">
        <v>13938</v>
      </c>
      <c r="J13">
        <v>3.56</v>
      </c>
      <c r="K13">
        <v>2</v>
      </c>
      <c r="L13">
        <v>5</v>
      </c>
      <c r="M13">
        <v>6</v>
      </c>
      <c r="N13">
        <v>45</v>
      </c>
      <c r="O13">
        <v>19</v>
      </c>
      <c r="P13">
        <v>917</v>
      </c>
    </row>
    <row r="14" spans="1:16" x14ac:dyDescent="0.35">
      <c r="A14">
        <v>13</v>
      </c>
      <c r="B14" t="s">
        <v>57</v>
      </c>
      <c r="C14" t="s">
        <v>17</v>
      </c>
      <c r="D14" t="s">
        <v>18</v>
      </c>
      <c r="E14" t="s">
        <v>19</v>
      </c>
      <c r="F14">
        <v>29</v>
      </c>
      <c r="G14" s="1">
        <v>44630</v>
      </c>
      <c r="H14" s="1"/>
      <c r="I14">
        <v>5049</v>
      </c>
      <c r="J14">
        <v>3.35</v>
      </c>
      <c r="K14">
        <v>5</v>
      </c>
      <c r="L14">
        <v>5</v>
      </c>
      <c r="M14">
        <v>7</v>
      </c>
      <c r="N14">
        <v>37</v>
      </c>
      <c r="O14">
        <v>14</v>
      </c>
      <c r="P14">
        <v>114</v>
      </c>
    </row>
    <row r="15" spans="1:16" x14ac:dyDescent="0.35">
      <c r="A15">
        <v>14</v>
      </c>
      <c r="B15" t="s">
        <v>58</v>
      </c>
      <c r="C15" t="s">
        <v>39</v>
      </c>
      <c r="D15" t="s">
        <v>56</v>
      </c>
      <c r="E15" t="s">
        <v>23</v>
      </c>
      <c r="F15">
        <v>43</v>
      </c>
      <c r="G15" s="1">
        <v>43342</v>
      </c>
      <c r="H15" s="1">
        <v>43436</v>
      </c>
      <c r="I15">
        <v>11953</v>
      </c>
      <c r="J15">
        <v>3.04</v>
      </c>
      <c r="K15">
        <v>2</v>
      </c>
      <c r="L15">
        <v>5</v>
      </c>
      <c r="M15">
        <v>18</v>
      </c>
      <c r="N15">
        <v>30</v>
      </c>
      <c r="O15">
        <v>15</v>
      </c>
      <c r="P15">
        <v>1706</v>
      </c>
    </row>
    <row r="16" spans="1:16" x14ac:dyDescent="0.35">
      <c r="A16">
        <v>15</v>
      </c>
      <c r="B16" t="s">
        <v>59</v>
      </c>
      <c r="C16" t="s">
        <v>36</v>
      </c>
      <c r="D16" t="s">
        <v>50</v>
      </c>
      <c r="E16" t="s">
        <v>23</v>
      </c>
      <c r="F16">
        <v>36</v>
      </c>
      <c r="G16" s="1">
        <v>44768</v>
      </c>
      <c r="H16" s="1">
        <v>44996</v>
      </c>
      <c r="I16">
        <v>4887</v>
      </c>
      <c r="J16">
        <v>4.18</v>
      </c>
      <c r="K16">
        <v>1</v>
      </c>
      <c r="L16">
        <v>1</v>
      </c>
      <c r="M16">
        <v>12</v>
      </c>
      <c r="N16">
        <v>46</v>
      </c>
      <c r="O16">
        <v>21</v>
      </c>
      <c r="P16">
        <v>1739</v>
      </c>
    </row>
    <row r="17" spans="1:16" x14ac:dyDescent="0.35">
      <c r="A17">
        <v>16</v>
      </c>
      <c r="B17" t="s">
        <v>60</v>
      </c>
      <c r="C17" t="s">
        <v>39</v>
      </c>
      <c r="D17" t="s">
        <v>61</v>
      </c>
      <c r="E17" t="s">
        <v>19</v>
      </c>
      <c r="F17">
        <v>30</v>
      </c>
      <c r="G17" s="1">
        <v>44119</v>
      </c>
      <c r="H17" s="1">
        <v>45247</v>
      </c>
      <c r="I17">
        <v>11579</v>
      </c>
      <c r="J17">
        <v>3.12</v>
      </c>
      <c r="K17">
        <v>1</v>
      </c>
      <c r="L17">
        <v>4</v>
      </c>
      <c r="M17">
        <v>17</v>
      </c>
      <c r="N17">
        <v>6</v>
      </c>
      <c r="O17">
        <v>3</v>
      </c>
      <c r="P17">
        <v>1435</v>
      </c>
    </row>
    <row r="18" spans="1:16" x14ac:dyDescent="0.35">
      <c r="A18">
        <v>17</v>
      </c>
      <c r="B18" t="s">
        <v>62</v>
      </c>
      <c r="C18" t="s">
        <v>21</v>
      </c>
      <c r="D18" t="s">
        <v>63</v>
      </c>
      <c r="E18" t="s">
        <v>23</v>
      </c>
      <c r="F18">
        <v>37</v>
      </c>
      <c r="G18" s="1">
        <v>43161</v>
      </c>
      <c r="H18" s="1"/>
      <c r="I18">
        <v>7502</v>
      </c>
      <c r="J18">
        <v>4.66</v>
      </c>
      <c r="K18">
        <v>1</v>
      </c>
      <c r="L18">
        <v>2</v>
      </c>
      <c r="M18">
        <v>12</v>
      </c>
      <c r="N18">
        <v>0</v>
      </c>
      <c r="O18">
        <v>24</v>
      </c>
      <c r="P18">
        <v>643</v>
      </c>
    </row>
    <row r="19" spans="1:16" x14ac:dyDescent="0.35">
      <c r="A19">
        <v>18</v>
      </c>
      <c r="B19" t="s">
        <v>64</v>
      </c>
      <c r="C19" t="s">
        <v>36</v>
      </c>
      <c r="D19" t="s">
        <v>37</v>
      </c>
      <c r="E19" t="s">
        <v>19</v>
      </c>
      <c r="F19">
        <v>31</v>
      </c>
      <c r="G19" s="1">
        <v>44269</v>
      </c>
      <c r="H19" s="1"/>
      <c r="I19">
        <v>7566</v>
      </c>
      <c r="J19">
        <v>4.92</v>
      </c>
      <c r="K19">
        <v>5</v>
      </c>
      <c r="L19">
        <v>5</v>
      </c>
      <c r="M19">
        <v>1</v>
      </c>
      <c r="N19">
        <v>47</v>
      </c>
      <c r="O19">
        <v>20</v>
      </c>
      <c r="P19">
        <v>217</v>
      </c>
    </row>
    <row r="20" spans="1:16" x14ac:dyDescent="0.35">
      <c r="A20">
        <v>19</v>
      </c>
      <c r="B20" t="s">
        <v>65</v>
      </c>
      <c r="C20" t="s">
        <v>39</v>
      </c>
      <c r="D20" t="s">
        <v>40</v>
      </c>
      <c r="E20" t="s">
        <v>19</v>
      </c>
      <c r="F20">
        <v>49</v>
      </c>
      <c r="G20" s="1">
        <v>45493</v>
      </c>
      <c r="H20" s="1"/>
      <c r="I20">
        <v>7044</v>
      </c>
      <c r="J20">
        <v>2.67</v>
      </c>
      <c r="K20">
        <v>1</v>
      </c>
      <c r="L20">
        <v>2</v>
      </c>
      <c r="M20">
        <v>12</v>
      </c>
      <c r="N20">
        <v>7</v>
      </c>
      <c r="O20">
        <v>36</v>
      </c>
      <c r="P20">
        <v>604</v>
      </c>
    </row>
    <row r="21" spans="1:16" x14ac:dyDescent="0.35">
      <c r="A21">
        <v>20</v>
      </c>
      <c r="B21" t="s">
        <v>66</v>
      </c>
      <c r="C21" t="s">
        <v>21</v>
      </c>
      <c r="D21" t="s">
        <v>63</v>
      </c>
      <c r="E21" t="s">
        <v>23</v>
      </c>
      <c r="F21">
        <v>28</v>
      </c>
      <c r="G21" s="1">
        <v>45536</v>
      </c>
      <c r="H21" s="1"/>
      <c r="I21">
        <v>14972</v>
      </c>
      <c r="J21">
        <v>4.29</v>
      </c>
      <c r="K21">
        <v>2</v>
      </c>
      <c r="L21">
        <v>3</v>
      </c>
      <c r="M21">
        <v>12</v>
      </c>
      <c r="N21">
        <v>8</v>
      </c>
      <c r="O21">
        <v>19</v>
      </c>
      <c r="P21">
        <v>1036</v>
      </c>
    </row>
    <row r="22" spans="1:16" x14ac:dyDescent="0.35">
      <c r="A22">
        <v>21</v>
      </c>
      <c r="B22" t="s">
        <v>67</v>
      </c>
      <c r="C22" t="s">
        <v>29</v>
      </c>
      <c r="D22" t="s">
        <v>68</v>
      </c>
      <c r="E22" t="s">
        <v>19</v>
      </c>
      <c r="F22">
        <v>38</v>
      </c>
      <c r="G22" s="1">
        <v>43398</v>
      </c>
      <c r="H22" s="1">
        <v>44700</v>
      </c>
      <c r="I22">
        <v>8345</v>
      </c>
      <c r="J22">
        <v>2.83</v>
      </c>
      <c r="K22">
        <v>3</v>
      </c>
      <c r="L22">
        <v>1</v>
      </c>
      <c r="M22">
        <v>7</v>
      </c>
      <c r="N22">
        <v>23</v>
      </c>
      <c r="O22">
        <v>18</v>
      </c>
      <c r="P22">
        <v>423</v>
      </c>
    </row>
    <row r="23" spans="1:16" x14ac:dyDescent="0.35">
      <c r="A23">
        <v>22</v>
      </c>
      <c r="B23" t="s">
        <v>42</v>
      </c>
      <c r="C23" t="s">
        <v>36</v>
      </c>
      <c r="D23" t="s">
        <v>37</v>
      </c>
      <c r="E23" t="s">
        <v>23</v>
      </c>
      <c r="F23">
        <v>43</v>
      </c>
      <c r="G23" s="1">
        <v>45326</v>
      </c>
      <c r="H23" s="1"/>
      <c r="I23">
        <v>5697</v>
      </c>
      <c r="J23">
        <v>4.8499999999999996</v>
      </c>
      <c r="K23">
        <v>2</v>
      </c>
      <c r="L23">
        <v>3</v>
      </c>
      <c r="M23">
        <v>3</v>
      </c>
      <c r="N23">
        <v>56</v>
      </c>
      <c r="O23">
        <v>6</v>
      </c>
      <c r="P23">
        <v>1620</v>
      </c>
    </row>
    <row r="24" spans="1:16" x14ac:dyDescent="0.35">
      <c r="A24">
        <v>23</v>
      </c>
      <c r="B24" t="s">
        <v>69</v>
      </c>
      <c r="C24" t="s">
        <v>21</v>
      </c>
      <c r="D24" t="s">
        <v>63</v>
      </c>
      <c r="E24" t="s">
        <v>19</v>
      </c>
      <c r="F24">
        <v>43</v>
      </c>
      <c r="G24" s="1">
        <v>43737</v>
      </c>
      <c r="H24" s="1"/>
      <c r="I24">
        <v>14391</v>
      </c>
      <c r="J24">
        <v>4.63</v>
      </c>
      <c r="K24">
        <v>5</v>
      </c>
      <c r="L24">
        <v>4</v>
      </c>
      <c r="M24">
        <v>8</v>
      </c>
      <c r="N24">
        <v>57</v>
      </c>
      <c r="O24">
        <v>3</v>
      </c>
      <c r="P24">
        <v>289</v>
      </c>
    </row>
    <row r="25" spans="1:16" x14ac:dyDescent="0.35">
      <c r="A25">
        <v>24</v>
      </c>
      <c r="B25" t="s">
        <v>70</v>
      </c>
      <c r="C25" t="s">
        <v>17</v>
      </c>
      <c r="D25" t="s">
        <v>71</v>
      </c>
      <c r="E25" t="s">
        <v>19</v>
      </c>
      <c r="F25">
        <v>42</v>
      </c>
      <c r="G25" s="1">
        <v>44835</v>
      </c>
      <c r="H25" s="1"/>
      <c r="I25">
        <v>8291</v>
      </c>
      <c r="J25">
        <v>2.9</v>
      </c>
      <c r="K25">
        <v>4</v>
      </c>
      <c r="L25">
        <v>5</v>
      </c>
      <c r="M25">
        <v>13</v>
      </c>
      <c r="N25">
        <v>35</v>
      </c>
      <c r="O25">
        <v>0</v>
      </c>
      <c r="P25">
        <v>329</v>
      </c>
    </row>
    <row r="26" spans="1:16" x14ac:dyDescent="0.35">
      <c r="A26">
        <v>25</v>
      </c>
      <c r="B26" t="s">
        <v>27</v>
      </c>
      <c r="C26" t="s">
        <v>39</v>
      </c>
      <c r="D26" t="s">
        <v>56</v>
      </c>
      <c r="E26" t="s">
        <v>23</v>
      </c>
      <c r="F26">
        <v>26</v>
      </c>
      <c r="G26" s="1">
        <v>43711</v>
      </c>
      <c r="H26" s="1"/>
      <c r="I26">
        <v>4685</v>
      </c>
      <c r="J26">
        <v>3.27</v>
      </c>
      <c r="K26">
        <v>1</v>
      </c>
      <c r="L26">
        <v>3</v>
      </c>
      <c r="M26">
        <v>6</v>
      </c>
      <c r="N26">
        <v>43</v>
      </c>
      <c r="O26">
        <v>15</v>
      </c>
      <c r="P26">
        <v>1465</v>
      </c>
    </row>
    <row r="27" spans="1:16" x14ac:dyDescent="0.35">
      <c r="A27">
        <v>26</v>
      </c>
      <c r="B27" t="s">
        <v>66</v>
      </c>
      <c r="C27" t="s">
        <v>39</v>
      </c>
      <c r="D27" t="s">
        <v>56</v>
      </c>
      <c r="E27" t="s">
        <v>19</v>
      </c>
      <c r="F27">
        <v>49</v>
      </c>
      <c r="G27" s="1">
        <v>44549</v>
      </c>
      <c r="H27" s="1"/>
      <c r="I27">
        <v>6662</v>
      </c>
      <c r="J27">
        <v>4.9400000000000004</v>
      </c>
      <c r="K27">
        <v>2</v>
      </c>
      <c r="L27">
        <v>4</v>
      </c>
      <c r="M27">
        <v>0</v>
      </c>
      <c r="N27">
        <v>11</v>
      </c>
      <c r="O27">
        <v>21</v>
      </c>
      <c r="P27">
        <v>1702</v>
      </c>
    </row>
    <row r="28" spans="1:16" x14ac:dyDescent="0.35">
      <c r="A28">
        <v>27</v>
      </c>
      <c r="B28" t="s">
        <v>72</v>
      </c>
      <c r="C28" t="s">
        <v>36</v>
      </c>
      <c r="D28" t="s">
        <v>37</v>
      </c>
      <c r="E28" t="s">
        <v>23</v>
      </c>
      <c r="F28">
        <v>29</v>
      </c>
      <c r="G28" s="1">
        <v>44117</v>
      </c>
      <c r="H28" s="1"/>
      <c r="I28">
        <v>7269</v>
      </c>
      <c r="J28">
        <v>4.54</v>
      </c>
      <c r="K28">
        <v>4</v>
      </c>
      <c r="L28">
        <v>3</v>
      </c>
      <c r="M28">
        <v>9</v>
      </c>
      <c r="N28">
        <v>52</v>
      </c>
      <c r="O28">
        <v>14</v>
      </c>
      <c r="P28">
        <v>556</v>
      </c>
    </row>
    <row r="29" spans="1:16" x14ac:dyDescent="0.35">
      <c r="A29">
        <v>28</v>
      </c>
      <c r="B29" t="s">
        <v>73</v>
      </c>
      <c r="C29" t="s">
        <v>39</v>
      </c>
      <c r="D29" t="s">
        <v>46</v>
      </c>
      <c r="E29" t="s">
        <v>23</v>
      </c>
      <c r="F29">
        <v>42</v>
      </c>
      <c r="G29" s="1">
        <v>43892</v>
      </c>
      <c r="H29" s="1"/>
      <c r="I29">
        <v>12346</v>
      </c>
      <c r="J29">
        <v>3.5</v>
      </c>
      <c r="K29">
        <v>5</v>
      </c>
      <c r="L29">
        <v>3</v>
      </c>
      <c r="M29">
        <v>0</v>
      </c>
      <c r="N29">
        <v>7</v>
      </c>
      <c r="O29">
        <v>16</v>
      </c>
      <c r="P29">
        <v>465</v>
      </c>
    </row>
    <row r="30" spans="1:16" x14ac:dyDescent="0.35">
      <c r="A30">
        <v>29</v>
      </c>
      <c r="B30" t="s">
        <v>59</v>
      </c>
      <c r="C30" t="s">
        <v>21</v>
      </c>
      <c r="D30" t="s">
        <v>63</v>
      </c>
      <c r="E30" t="s">
        <v>23</v>
      </c>
      <c r="F30">
        <v>41</v>
      </c>
      <c r="G30" s="1">
        <v>44188</v>
      </c>
      <c r="H30" s="1">
        <v>45439</v>
      </c>
      <c r="I30">
        <v>12379</v>
      </c>
      <c r="J30">
        <v>2.79</v>
      </c>
      <c r="K30">
        <v>5</v>
      </c>
      <c r="L30">
        <v>2</v>
      </c>
      <c r="M30">
        <v>8</v>
      </c>
      <c r="N30">
        <v>2</v>
      </c>
      <c r="O30">
        <v>27</v>
      </c>
      <c r="P30">
        <v>103</v>
      </c>
    </row>
    <row r="31" spans="1:16" x14ac:dyDescent="0.35">
      <c r="A31">
        <v>30</v>
      </c>
      <c r="B31" t="s">
        <v>74</v>
      </c>
      <c r="C31" t="s">
        <v>21</v>
      </c>
      <c r="D31" t="s">
        <v>63</v>
      </c>
      <c r="E31" t="s">
        <v>19</v>
      </c>
      <c r="F31">
        <v>43</v>
      </c>
      <c r="G31" s="1">
        <v>45306</v>
      </c>
      <c r="H31" s="1"/>
      <c r="I31">
        <v>9409</v>
      </c>
      <c r="J31">
        <v>4.0599999999999996</v>
      </c>
      <c r="K31">
        <v>1</v>
      </c>
      <c r="L31">
        <v>3</v>
      </c>
      <c r="M31">
        <v>16</v>
      </c>
      <c r="N31">
        <v>19</v>
      </c>
      <c r="O31">
        <v>26</v>
      </c>
      <c r="P31">
        <v>768</v>
      </c>
    </row>
    <row r="32" spans="1:16" x14ac:dyDescent="0.35">
      <c r="A32">
        <v>31</v>
      </c>
      <c r="B32" t="s">
        <v>75</v>
      </c>
      <c r="C32" t="s">
        <v>36</v>
      </c>
      <c r="D32" t="s">
        <v>50</v>
      </c>
      <c r="E32" t="s">
        <v>19</v>
      </c>
      <c r="F32">
        <v>41</v>
      </c>
      <c r="G32" s="1">
        <v>44312</v>
      </c>
      <c r="H32" s="1"/>
      <c r="I32">
        <v>13324</v>
      </c>
      <c r="J32">
        <v>3.25</v>
      </c>
      <c r="K32">
        <v>5</v>
      </c>
      <c r="L32">
        <v>1</v>
      </c>
      <c r="M32">
        <v>9</v>
      </c>
      <c r="N32">
        <v>18</v>
      </c>
      <c r="O32">
        <v>13</v>
      </c>
      <c r="P32">
        <v>980</v>
      </c>
    </row>
    <row r="33" spans="1:16" x14ac:dyDescent="0.35">
      <c r="A33">
        <v>32</v>
      </c>
      <c r="B33" t="s">
        <v>76</v>
      </c>
      <c r="C33" t="s">
        <v>21</v>
      </c>
      <c r="D33" t="s">
        <v>63</v>
      </c>
      <c r="E33" t="s">
        <v>19</v>
      </c>
      <c r="F33">
        <v>38</v>
      </c>
      <c r="G33" s="1">
        <v>45585</v>
      </c>
      <c r="H33" s="1"/>
      <c r="I33">
        <v>11752</v>
      </c>
      <c r="J33">
        <v>4.4800000000000004</v>
      </c>
      <c r="K33">
        <v>2</v>
      </c>
      <c r="L33">
        <v>1</v>
      </c>
      <c r="M33">
        <v>9</v>
      </c>
      <c r="N33">
        <v>32</v>
      </c>
      <c r="O33">
        <v>40</v>
      </c>
      <c r="P33">
        <v>1368</v>
      </c>
    </row>
    <row r="34" spans="1:16" x14ac:dyDescent="0.35">
      <c r="A34">
        <v>33</v>
      </c>
      <c r="B34" t="s">
        <v>77</v>
      </c>
      <c r="C34" t="s">
        <v>29</v>
      </c>
      <c r="D34" t="s">
        <v>68</v>
      </c>
      <c r="E34" t="s">
        <v>19</v>
      </c>
      <c r="F34">
        <v>26</v>
      </c>
      <c r="G34" s="1">
        <v>43483</v>
      </c>
      <c r="H34" s="1"/>
      <c r="I34">
        <v>4400</v>
      </c>
      <c r="J34">
        <v>2.62</v>
      </c>
      <c r="K34">
        <v>4</v>
      </c>
      <c r="L34">
        <v>5</v>
      </c>
      <c r="M34">
        <v>2</v>
      </c>
      <c r="N34">
        <v>29</v>
      </c>
      <c r="O34">
        <v>26</v>
      </c>
      <c r="P34">
        <v>1914</v>
      </c>
    </row>
    <row r="35" spans="1:16" x14ac:dyDescent="0.35">
      <c r="A35">
        <v>34</v>
      </c>
      <c r="B35" t="s">
        <v>33</v>
      </c>
      <c r="C35" t="s">
        <v>17</v>
      </c>
      <c r="D35" t="s">
        <v>71</v>
      </c>
      <c r="E35" t="s">
        <v>19</v>
      </c>
      <c r="F35">
        <v>26</v>
      </c>
      <c r="G35" s="1">
        <v>45458</v>
      </c>
      <c r="H35" s="1"/>
      <c r="I35">
        <v>14748</v>
      </c>
      <c r="J35">
        <v>4.22</v>
      </c>
      <c r="K35">
        <v>1</v>
      </c>
      <c r="L35">
        <v>4</v>
      </c>
      <c r="M35">
        <v>7</v>
      </c>
      <c r="N35">
        <v>11</v>
      </c>
      <c r="O35">
        <v>33</v>
      </c>
      <c r="P35">
        <v>1051</v>
      </c>
    </row>
    <row r="36" spans="1:16" x14ac:dyDescent="0.35">
      <c r="A36">
        <v>35</v>
      </c>
      <c r="B36" t="s">
        <v>60</v>
      </c>
      <c r="C36" t="s">
        <v>39</v>
      </c>
      <c r="D36" t="s">
        <v>61</v>
      </c>
      <c r="E36" t="s">
        <v>23</v>
      </c>
      <c r="F36">
        <v>46</v>
      </c>
      <c r="G36" s="1">
        <v>45384</v>
      </c>
      <c r="H36" s="1"/>
      <c r="I36">
        <v>11251</v>
      </c>
      <c r="J36">
        <v>4.03</v>
      </c>
      <c r="K36">
        <v>5</v>
      </c>
      <c r="L36">
        <v>4</v>
      </c>
      <c r="M36">
        <v>17</v>
      </c>
      <c r="N36">
        <v>28</v>
      </c>
      <c r="O36">
        <v>10</v>
      </c>
      <c r="P36">
        <v>1623</v>
      </c>
    </row>
    <row r="37" spans="1:16" x14ac:dyDescent="0.35">
      <c r="A37">
        <v>36</v>
      </c>
      <c r="B37" t="s">
        <v>77</v>
      </c>
      <c r="C37" t="s">
        <v>36</v>
      </c>
      <c r="D37" t="s">
        <v>50</v>
      </c>
      <c r="E37" t="s">
        <v>19</v>
      </c>
      <c r="F37">
        <v>30</v>
      </c>
      <c r="G37" s="1">
        <v>44944</v>
      </c>
      <c r="H37" s="1"/>
      <c r="I37">
        <v>11206</v>
      </c>
      <c r="J37">
        <v>2.69</v>
      </c>
      <c r="K37">
        <v>3</v>
      </c>
      <c r="L37">
        <v>2</v>
      </c>
      <c r="M37">
        <v>8</v>
      </c>
      <c r="N37">
        <v>21</v>
      </c>
      <c r="O37">
        <v>20</v>
      </c>
      <c r="P37">
        <v>1928</v>
      </c>
    </row>
    <row r="38" spans="1:16" x14ac:dyDescent="0.35">
      <c r="A38">
        <v>37</v>
      </c>
      <c r="B38" t="s">
        <v>78</v>
      </c>
      <c r="C38" t="s">
        <v>21</v>
      </c>
      <c r="D38" t="s">
        <v>22</v>
      </c>
      <c r="E38" t="s">
        <v>19</v>
      </c>
      <c r="F38">
        <v>35</v>
      </c>
      <c r="G38" s="1">
        <v>43431</v>
      </c>
      <c r="H38" s="1">
        <v>43934</v>
      </c>
      <c r="I38">
        <v>10678</v>
      </c>
      <c r="J38">
        <v>3.33</v>
      </c>
      <c r="K38">
        <v>4</v>
      </c>
      <c r="L38">
        <v>4</v>
      </c>
      <c r="M38">
        <v>1</v>
      </c>
      <c r="N38">
        <v>13</v>
      </c>
      <c r="O38">
        <v>26</v>
      </c>
      <c r="P38">
        <v>897</v>
      </c>
    </row>
    <row r="39" spans="1:16" x14ac:dyDescent="0.35">
      <c r="A39">
        <v>38</v>
      </c>
      <c r="B39" t="s">
        <v>79</v>
      </c>
      <c r="C39" t="s">
        <v>21</v>
      </c>
      <c r="D39" t="s">
        <v>63</v>
      </c>
      <c r="E39" t="s">
        <v>19</v>
      </c>
      <c r="F39">
        <v>33</v>
      </c>
      <c r="G39" s="1">
        <v>43181</v>
      </c>
      <c r="H39" s="1"/>
      <c r="I39">
        <v>8892</v>
      </c>
      <c r="J39">
        <v>4.38</v>
      </c>
      <c r="K39">
        <v>4</v>
      </c>
      <c r="L39">
        <v>5</v>
      </c>
      <c r="M39">
        <v>17</v>
      </c>
      <c r="N39">
        <v>51</v>
      </c>
      <c r="O39">
        <v>38</v>
      </c>
      <c r="P39">
        <v>1938</v>
      </c>
    </row>
    <row r="40" spans="1:16" x14ac:dyDescent="0.35">
      <c r="A40">
        <v>39</v>
      </c>
      <c r="B40" t="s">
        <v>54</v>
      </c>
      <c r="C40" t="s">
        <v>25</v>
      </c>
      <c r="D40" t="s">
        <v>26</v>
      </c>
      <c r="E40" t="s">
        <v>23</v>
      </c>
      <c r="F40">
        <v>43</v>
      </c>
      <c r="G40" s="1">
        <v>45100</v>
      </c>
      <c r="H40" s="1"/>
      <c r="I40">
        <v>10624</v>
      </c>
      <c r="J40">
        <v>4.3099999999999996</v>
      </c>
      <c r="K40">
        <v>4</v>
      </c>
      <c r="L40">
        <v>2</v>
      </c>
      <c r="M40">
        <v>19</v>
      </c>
      <c r="N40">
        <v>34</v>
      </c>
      <c r="O40">
        <v>1</v>
      </c>
      <c r="P40">
        <v>1957</v>
      </c>
    </row>
    <row r="41" spans="1:16" x14ac:dyDescent="0.35">
      <c r="A41">
        <v>40</v>
      </c>
      <c r="B41" t="s">
        <v>80</v>
      </c>
      <c r="C41" t="s">
        <v>36</v>
      </c>
      <c r="D41" t="s">
        <v>50</v>
      </c>
      <c r="E41" t="s">
        <v>19</v>
      </c>
      <c r="F41">
        <v>49</v>
      </c>
      <c r="G41" s="1">
        <v>45525</v>
      </c>
      <c r="H41" s="1"/>
      <c r="I41">
        <v>11564</v>
      </c>
      <c r="J41">
        <v>2.95</v>
      </c>
      <c r="K41">
        <v>3</v>
      </c>
      <c r="L41">
        <v>4</v>
      </c>
      <c r="M41">
        <v>10</v>
      </c>
      <c r="N41">
        <v>13</v>
      </c>
      <c r="O41">
        <v>29</v>
      </c>
      <c r="P41">
        <v>769</v>
      </c>
    </row>
    <row r="42" spans="1:16" x14ac:dyDescent="0.35">
      <c r="A42">
        <v>41</v>
      </c>
      <c r="B42" t="s">
        <v>52</v>
      </c>
      <c r="C42" t="s">
        <v>29</v>
      </c>
      <c r="D42" t="s">
        <v>68</v>
      </c>
      <c r="E42" t="s">
        <v>23</v>
      </c>
      <c r="F42">
        <v>22</v>
      </c>
      <c r="G42" s="1">
        <v>44653</v>
      </c>
      <c r="H42" s="1"/>
      <c r="I42">
        <v>12837</v>
      </c>
      <c r="J42">
        <v>2.63</v>
      </c>
      <c r="K42">
        <v>3</v>
      </c>
      <c r="L42">
        <v>2</v>
      </c>
      <c r="M42">
        <v>20</v>
      </c>
      <c r="N42">
        <v>4</v>
      </c>
      <c r="O42">
        <v>2</v>
      </c>
      <c r="P42">
        <v>1644</v>
      </c>
    </row>
    <row r="43" spans="1:16" x14ac:dyDescent="0.35">
      <c r="A43">
        <v>42</v>
      </c>
      <c r="B43" t="s">
        <v>81</v>
      </c>
      <c r="C43" t="s">
        <v>39</v>
      </c>
      <c r="D43" t="s">
        <v>56</v>
      </c>
      <c r="E43" t="s">
        <v>19</v>
      </c>
      <c r="F43">
        <v>37</v>
      </c>
      <c r="G43" s="1">
        <v>44113</v>
      </c>
      <c r="H43" s="1">
        <v>44184</v>
      </c>
      <c r="I43">
        <v>14968</v>
      </c>
      <c r="J43">
        <v>2.79</v>
      </c>
      <c r="K43">
        <v>2</v>
      </c>
      <c r="L43">
        <v>4</v>
      </c>
      <c r="M43">
        <v>8</v>
      </c>
      <c r="N43">
        <v>49</v>
      </c>
      <c r="O43">
        <v>23</v>
      </c>
      <c r="P43">
        <v>443</v>
      </c>
    </row>
    <row r="44" spans="1:16" x14ac:dyDescent="0.35">
      <c r="A44">
        <v>43</v>
      </c>
      <c r="B44" t="s">
        <v>82</v>
      </c>
      <c r="C44" t="s">
        <v>21</v>
      </c>
      <c r="D44" t="s">
        <v>63</v>
      </c>
      <c r="E44" t="s">
        <v>19</v>
      </c>
      <c r="F44">
        <v>40</v>
      </c>
      <c r="G44" s="1">
        <v>45588</v>
      </c>
      <c r="H44" s="1"/>
      <c r="I44">
        <v>4420</v>
      </c>
      <c r="J44">
        <v>4.82</v>
      </c>
      <c r="K44">
        <v>5</v>
      </c>
      <c r="L44">
        <v>4</v>
      </c>
      <c r="M44">
        <v>12</v>
      </c>
      <c r="N44">
        <v>60</v>
      </c>
      <c r="O44">
        <v>12</v>
      </c>
      <c r="P44">
        <v>255</v>
      </c>
    </row>
    <row r="45" spans="1:16" x14ac:dyDescent="0.35">
      <c r="A45">
        <v>44</v>
      </c>
      <c r="B45" t="s">
        <v>83</v>
      </c>
      <c r="C45" t="s">
        <v>21</v>
      </c>
      <c r="D45" t="s">
        <v>22</v>
      </c>
      <c r="E45" t="s">
        <v>23</v>
      </c>
      <c r="F45">
        <v>39</v>
      </c>
      <c r="G45" s="1">
        <v>44095</v>
      </c>
      <c r="H45" s="1">
        <v>44742</v>
      </c>
      <c r="I45">
        <v>11018</v>
      </c>
      <c r="J45">
        <v>4.1500000000000004</v>
      </c>
      <c r="K45">
        <v>1</v>
      </c>
      <c r="L45">
        <v>5</v>
      </c>
      <c r="M45">
        <v>20</v>
      </c>
      <c r="N45">
        <v>21</v>
      </c>
      <c r="O45">
        <v>0</v>
      </c>
      <c r="P45">
        <v>1839</v>
      </c>
    </row>
    <row r="46" spans="1:16" x14ac:dyDescent="0.35">
      <c r="A46">
        <v>45</v>
      </c>
      <c r="B46" t="s">
        <v>60</v>
      </c>
      <c r="C46" t="s">
        <v>36</v>
      </c>
      <c r="D46" t="s">
        <v>50</v>
      </c>
      <c r="E46" t="s">
        <v>19</v>
      </c>
      <c r="F46">
        <v>45</v>
      </c>
      <c r="G46" s="1">
        <v>45108</v>
      </c>
      <c r="H46" s="1"/>
      <c r="I46">
        <v>12548</v>
      </c>
      <c r="J46">
        <v>4.91</v>
      </c>
      <c r="K46">
        <v>3</v>
      </c>
      <c r="L46">
        <v>5</v>
      </c>
      <c r="M46">
        <v>17</v>
      </c>
      <c r="N46">
        <v>49</v>
      </c>
      <c r="O46">
        <v>30</v>
      </c>
      <c r="P46">
        <v>1052</v>
      </c>
    </row>
    <row r="47" spans="1:16" x14ac:dyDescent="0.35">
      <c r="A47">
        <v>46</v>
      </c>
      <c r="B47" t="s">
        <v>84</v>
      </c>
      <c r="C47" t="s">
        <v>36</v>
      </c>
      <c r="D47" t="s">
        <v>50</v>
      </c>
      <c r="E47" t="s">
        <v>23</v>
      </c>
      <c r="F47">
        <v>29</v>
      </c>
      <c r="G47" s="1">
        <v>45527</v>
      </c>
      <c r="H47" s="1"/>
      <c r="I47">
        <v>11613</v>
      </c>
      <c r="J47">
        <v>3.92</v>
      </c>
      <c r="K47">
        <v>4</v>
      </c>
      <c r="L47">
        <v>3</v>
      </c>
      <c r="M47">
        <v>0</v>
      </c>
      <c r="N47">
        <v>31</v>
      </c>
      <c r="O47">
        <v>20</v>
      </c>
      <c r="P47">
        <v>472</v>
      </c>
    </row>
    <row r="48" spans="1:16" x14ac:dyDescent="0.35">
      <c r="A48">
        <v>47</v>
      </c>
      <c r="B48" t="s">
        <v>85</v>
      </c>
      <c r="C48" t="s">
        <v>36</v>
      </c>
      <c r="D48" t="s">
        <v>50</v>
      </c>
      <c r="E48" t="s">
        <v>23</v>
      </c>
      <c r="F48">
        <v>39</v>
      </c>
      <c r="G48" s="1">
        <v>43969</v>
      </c>
      <c r="H48" s="1"/>
      <c r="I48">
        <v>4166</v>
      </c>
      <c r="J48">
        <v>3.79</v>
      </c>
      <c r="K48">
        <v>2</v>
      </c>
      <c r="L48">
        <v>1</v>
      </c>
      <c r="M48">
        <v>7</v>
      </c>
      <c r="N48">
        <v>46</v>
      </c>
      <c r="O48">
        <v>26</v>
      </c>
      <c r="P48">
        <v>1100</v>
      </c>
    </row>
    <row r="49" spans="1:16" x14ac:dyDescent="0.35">
      <c r="A49">
        <v>48</v>
      </c>
      <c r="B49" t="s">
        <v>86</v>
      </c>
      <c r="C49" t="s">
        <v>21</v>
      </c>
      <c r="D49" t="s">
        <v>22</v>
      </c>
      <c r="E49" t="s">
        <v>19</v>
      </c>
      <c r="F49">
        <v>31</v>
      </c>
      <c r="G49" s="1">
        <v>44085</v>
      </c>
      <c r="H49" s="1"/>
      <c r="I49">
        <v>7630</v>
      </c>
      <c r="J49">
        <v>3.51</v>
      </c>
      <c r="K49">
        <v>2</v>
      </c>
      <c r="L49">
        <v>3</v>
      </c>
      <c r="M49">
        <v>18</v>
      </c>
      <c r="N49">
        <v>23</v>
      </c>
      <c r="O49">
        <v>30</v>
      </c>
      <c r="P49">
        <v>1233</v>
      </c>
    </row>
    <row r="50" spans="1:16" x14ac:dyDescent="0.35">
      <c r="A50">
        <v>49</v>
      </c>
      <c r="B50" t="s">
        <v>87</v>
      </c>
      <c r="C50" t="s">
        <v>21</v>
      </c>
      <c r="D50" t="s">
        <v>63</v>
      </c>
      <c r="E50" t="s">
        <v>23</v>
      </c>
      <c r="F50">
        <v>30</v>
      </c>
      <c r="G50" s="1">
        <v>44509</v>
      </c>
      <c r="H50" s="1"/>
      <c r="I50">
        <v>9023</v>
      </c>
      <c r="J50">
        <v>3.13</v>
      </c>
      <c r="K50">
        <v>1</v>
      </c>
      <c r="L50">
        <v>2</v>
      </c>
      <c r="M50">
        <v>10</v>
      </c>
      <c r="N50">
        <v>7</v>
      </c>
      <c r="O50">
        <v>34</v>
      </c>
      <c r="P50">
        <v>1660</v>
      </c>
    </row>
    <row r="51" spans="1:16" x14ac:dyDescent="0.35">
      <c r="A51">
        <v>50</v>
      </c>
      <c r="B51" t="s">
        <v>88</v>
      </c>
      <c r="C51" t="s">
        <v>17</v>
      </c>
      <c r="D51" t="s">
        <v>71</v>
      </c>
      <c r="E51" t="s">
        <v>19</v>
      </c>
      <c r="F51">
        <v>48</v>
      </c>
      <c r="G51" s="1">
        <v>43859</v>
      </c>
      <c r="H51" s="1">
        <v>44880</v>
      </c>
      <c r="I51">
        <v>7180</v>
      </c>
      <c r="J51">
        <v>3.24</v>
      </c>
      <c r="K51">
        <v>3</v>
      </c>
      <c r="L51">
        <v>2</v>
      </c>
      <c r="M51">
        <v>9</v>
      </c>
      <c r="N51">
        <v>0</v>
      </c>
      <c r="O51">
        <v>34</v>
      </c>
      <c r="P51">
        <v>359</v>
      </c>
    </row>
    <row r="52" spans="1:16" x14ac:dyDescent="0.35">
      <c r="A52">
        <v>51</v>
      </c>
      <c r="B52" t="s">
        <v>89</v>
      </c>
      <c r="C52" t="s">
        <v>29</v>
      </c>
      <c r="D52" t="s">
        <v>68</v>
      </c>
      <c r="E52" t="s">
        <v>23</v>
      </c>
      <c r="F52">
        <v>25</v>
      </c>
      <c r="G52" s="1">
        <v>43287</v>
      </c>
      <c r="H52" s="1"/>
      <c r="I52">
        <v>4200</v>
      </c>
      <c r="J52">
        <v>3.94</v>
      </c>
      <c r="K52">
        <v>4</v>
      </c>
      <c r="L52">
        <v>4</v>
      </c>
      <c r="M52">
        <v>14</v>
      </c>
      <c r="N52">
        <v>21</v>
      </c>
      <c r="O52">
        <v>11</v>
      </c>
      <c r="P52">
        <v>205</v>
      </c>
    </row>
    <row r="53" spans="1:16" x14ac:dyDescent="0.35">
      <c r="A53">
        <v>52</v>
      </c>
      <c r="B53" t="s">
        <v>33</v>
      </c>
      <c r="C53" t="s">
        <v>29</v>
      </c>
      <c r="D53" t="s">
        <v>68</v>
      </c>
      <c r="E53" t="s">
        <v>19</v>
      </c>
      <c r="F53">
        <v>26</v>
      </c>
      <c r="G53" s="1">
        <v>45057</v>
      </c>
      <c r="H53" s="1">
        <v>45220</v>
      </c>
      <c r="I53">
        <v>6444</v>
      </c>
      <c r="J53">
        <v>4.53</v>
      </c>
      <c r="K53">
        <v>3</v>
      </c>
      <c r="L53">
        <v>1</v>
      </c>
      <c r="M53">
        <v>7</v>
      </c>
      <c r="N53">
        <v>7</v>
      </c>
      <c r="O53">
        <v>35</v>
      </c>
      <c r="P53">
        <v>1665</v>
      </c>
    </row>
    <row r="54" spans="1:16" x14ac:dyDescent="0.35">
      <c r="A54">
        <v>53</v>
      </c>
      <c r="B54" t="s">
        <v>69</v>
      </c>
      <c r="C54" t="s">
        <v>36</v>
      </c>
      <c r="D54" t="s">
        <v>50</v>
      </c>
      <c r="E54" t="s">
        <v>23</v>
      </c>
      <c r="F54">
        <v>36</v>
      </c>
      <c r="G54" s="1">
        <v>45584</v>
      </c>
      <c r="H54" s="1"/>
      <c r="I54">
        <v>8871</v>
      </c>
      <c r="J54">
        <v>4.6500000000000004</v>
      </c>
      <c r="K54">
        <v>4</v>
      </c>
      <c r="L54">
        <v>3</v>
      </c>
      <c r="M54">
        <v>18</v>
      </c>
      <c r="N54">
        <v>39</v>
      </c>
      <c r="O54">
        <v>3</v>
      </c>
      <c r="P54">
        <v>1348</v>
      </c>
    </row>
    <row r="55" spans="1:16" x14ac:dyDescent="0.35">
      <c r="A55">
        <v>54</v>
      </c>
      <c r="B55" t="s">
        <v>90</v>
      </c>
      <c r="C55" t="s">
        <v>17</v>
      </c>
      <c r="D55" t="s">
        <v>71</v>
      </c>
      <c r="E55" t="s">
        <v>19</v>
      </c>
      <c r="F55">
        <v>27</v>
      </c>
      <c r="G55" s="1">
        <v>43507</v>
      </c>
      <c r="H55" s="1"/>
      <c r="I55">
        <v>7929</v>
      </c>
      <c r="J55">
        <v>2.93</v>
      </c>
      <c r="K55">
        <v>1</v>
      </c>
      <c r="L55">
        <v>2</v>
      </c>
      <c r="M55">
        <v>0</v>
      </c>
      <c r="N55">
        <v>26</v>
      </c>
      <c r="O55">
        <v>28</v>
      </c>
      <c r="P55">
        <v>1511</v>
      </c>
    </row>
    <row r="56" spans="1:16" x14ac:dyDescent="0.35">
      <c r="A56">
        <v>55</v>
      </c>
      <c r="B56" t="s">
        <v>77</v>
      </c>
      <c r="C56" t="s">
        <v>21</v>
      </c>
      <c r="D56" t="s">
        <v>63</v>
      </c>
      <c r="E56" t="s">
        <v>23</v>
      </c>
      <c r="F56">
        <v>24</v>
      </c>
      <c r="G56" s="1">
        <v>45025</v>
      </c>
      <c r="H56" s="1"/>
      <c r="I56">
        <v>7824</v>
      </c>
      <c r="J56">
        <v>4.8099999999999996</v>
      </c>
      <c r="K56">
        <v>5</v>
      </c>
      <c r="L56">
        <v>2</v>
      </c>
      <c r="M56">
        <v>13</v>
      </c>
      <c r="N56">
        <v>7</v>
      </c>
      <c r="O56">
        <v>34</v>
      </c>
      <c r="P56">
        <v>560</v>
      </c>
    </row>
    <row r="57" spans="1:16" x14ac:dyDescent="0.35">
      <c r="A57">
        <v>56</v>
      </c>
      <c r="B57" t="s">
        <v>91</v>
      </c>
      <c r="C57" t="s">
        <v>17</v>
      </c>
      <c r="D57" t="s">
        <v>18</v>
      </c>
      <c r="E57" t="s">
        <v>19</v>
      </c>
      <c r="F57">
        <v>47</v>
      </c>
      <c r="G57" s="1">
        <v>43711</v>
      </c>
      <c r="H57" s="1"/>
      <c r="I57">
        <v>9039</v>
      </c>
      <c r="J57">
        <v>3.99</v>
      </c>
      <c r="K57">
        <v>5</v>
      </c>
      <c r="L57">
        <v>3</v>
      </c>
      <c r="M57">
        <v>14</v>
      </c>
      <c r="N57">
        <v>7</v>
      </c>
      <c r="O57">
        <v>29</v>
      </c>
      <c r="P57">
        <v>1510</v>
      </c>
    </row>
    <row r="58" spans="1:16" x14ac:dyDescent="0.35">
      <c r="A58">
        <v>57</v>
      </c>
      <c r="B58" t="s">
        <v>92</v>
      </c>
      <c r="C58" t="s">
        <v>29</v>
      </c>
      <c r="D58" t="s">
        <v>30</v>
      </c>
      <c r="E58" t="s">
        <v>23</v>
      </c>
      <c r="F58">
        <v>24</v>
      </c>
      <c r="G58" s="1">
        <v>44749</v>
      </c>
      <c r="H58" s="1"/>
      <c r="I58">
        <v>13798</v>
      </c>
      <c r="J58">
        <v>2.6</v>
      </c>
      <c r="K58">
        <v>4</v>
      </c>
      <c r="L58">
        <v>3</v>
      </c>
      <c r="M58">
        <v>19</v>
      </c>
      <c r="N58">
        <v>16</v>
      </c>
      <c r="O58">
        <v>1</v>
      </c>
      <c r="P58">
        <v>287</v>
      </c>
    </row>
    <row r="59" spans="1:16" x14ac:dyDescent="0.35">
      <c r="A59">
        <v>58</v>
      </c>
      <c r="B59" t="s">
        <v>93</v>
      </c>
      <c r="C59" t="s">
        <v>25</v>
      </c>
      <c r="D59" t="s">
        <v>44</v>
      </c>
      <c r="E59" t="s">
        <v>19</v>
      </c>
      <c r="F59">
        <v>46</v>
      </c>
      <c r="G59" s="1">
        <v>45457</v>
      </c>
      <c r="H59" s="1"/>
      <c r="I59">
        <v>6870</v>
      </c>
      <c r="J59">
        <v>3.68</v>
      </c>
      <c r="K59">
        <v>4</v>
      </c>
      <c r="L59">
        <v>3</v>
      </c>
      <c r="M59">
        <v>5</v>
      </c>
      <c r="N59">
        <v>37</v>
      </c>
      <c r="O59">
        <v>27</v>
      </c>
      <c r="P59">
        <v>1400</v>
      </c>
    </row>
    <row r="60" spans="1:16" x14ac:dyDescent="0.35">
      <c r="A60">
        <v>59</v>
      </c>
      <c r="B60" t="s">
        <v>59</v>
      </c>
      <c r="C60" t="s">
        <v>36</v>
      </c>
      <c r="D60" t="s">
        <v>50</v>
      </c>
      <c r="E60" t="s">
        <v>19</v>
      </c>
      <c r="F60">
        <v>49</v>
      </c>
      <c r="G60" s="1">
        <v>43474</v>
      </c>
      <c r="H60" s="1"/>
      <c r="I60">
        <v>6634</v>
      </c>
      <c r="J60">
        <v>3.32</v>
      </c>
      <c r="K60">
        <v>4</v>
      </c>
      <c r="L60">
        <v>3</v>
      </c>
      <c r="M60">
        <v>12</v>
      </c>
      <c r="N60">
        <v>52</v>
      </c>
      <c r="O60">
        <v>35</v>
      </c>
      <c r="P60">
        <v>175</v>
      </c>
    </row>
    <row r="61" spans="1:16" x14ac:dyDescent="0.35">
      <c r="A61">
        <v>60</v>
      </c>
      <c r="B61" t="s">
        <v>58</v>
      </c>
      <c r="C61" t="s">
        <v>36</v>
      </c>
      <c r="D61" t="s">
        <v>50</v>
      </c>
      <c r="E61" t="s">
        <v>19</v>
      </c>
      <c r="F61">
        <v>43</v>
      </c>
      <c r="G61" s="1">
        <v>43461</v>
      </c>
      <c r="H61" s="1"/>
      <c r="I61">
        <v>12889</v>
      </c>
      <c r="J61">
        <v>3.65</v>
      </c>
      <c r="K61">
        <v>1</v>
      </c>
      <c r="L61">
        <v>2</v>
      </c>
      <c r="M61">
        <v>16</v>
      </c>
      <c r="N61">
        <v>23</v>
      </c>
      <c r="O61">
        <v>39</v>
      </c>
      <c r="P61">
        <v>1649</v>
      </c>
    </row>
    <row r="62" spans="1:16" x14ac:dyDescent="0.35">
      <c r="A62">
        <v>61</v>
      </c>
      <c r="B62" t="s">
        <v>48</v>
      </c>
      <c r="C62" t="s">
        <v>36</v>
      </c>
      <c r="D62" t="s">
        <v>37</v>
      </c>
      <c r="E62" t="s">
        <v>23</v>
      </c>
      <c r="F62">
        <v>36</v>
      </c>
      <c r="G62" s="1">
        <v>44911</v>
      </c>
      <c r="H62" s="1"/>
      <c r="I62">
        <v>11941</v>
      </c>
      <c r="J62">
        <v>2.8</v>
      </c>
      <c r="K62">
        <v>5</v>
      </c>
      <c r="L62">
        <v>2</v>
      </c>
      <c r="M62">
        <v>5</v>
      </c>
      <c r="N62">
        <v>19</v>
      </c>
      <c r="O62">
        <v>35</v>
      </c>
      <c r="P62">
        <v>128</v>
      </c>
    </row>
    <row r="63" spans="1:16" x14ac:dyDescent="0.35">
      <c r="A63">
        <v>62</v>
      </c>
      <c r="B63" t="s">
        <v>94</v>
      </c>
      <c r="C63" t="s">
        <v>21</v>
      </c>
      <c r="D63" t="s">
        <v>22</v>
      </c>
      <c r="E63" t="s">
        <v>23</v>
      </c>
      <c r="F63">
        <v>44</v>
      </c>
      <c r="G63" s="1">
        <v>44772</v>
      </c>
      <c r="H63" s="1">
        <v>45034</v>
      </c>
      <c r="I63">
        <v>8781</v>
      </c>
      <c r="J63">
        <v>3.77</v>
      </c>
      <c r="K63">
        <v>3</v>
      </c>
      <c r="L63">
        <v>4</v>
      </c>
      <c r="M63">
        <v>15</v>
      </c>
      <c r="N63">
        <v>30</v>
      </c>
      <c r="O63">
        <v>15</v>
      </c>
      <c r="P63">
        <v>1035</v>
      </c>
    </row>
    <row r="64" spans="1:16" x14ac:dyDescent="0.35">
      <c r="A64">
        <v>63</v>
      </c>
      <c r="B64" t="s">
        <v>42</v>
      </c>
      <c r="C64" t="s">
        <v>21</v>
      </c>
      <c r="D64" t="s">
        <v>22</v>
      </c>
      <c r="E64" t="s">
        <v>19</v>
      </c>
      <c r="F64">
        <v>30</v>
      </c>
      <c r="G64" s="1">
        <v>43693</v>
      </c>
      <c r="H64" s="1"/>
      <c r="I64">
        <v>10798</v>
      </c>
      <c r="J64">
        <v>3.35</v>
      </c>
      <c r="K64">
        <v>5</v>
      </c>
      <c r="L64">
        <v>3</v>
      </c>
      <c r="M64">
        <v>0</v>
      </c>
      <c r="N64">
        <v>18</v>
      </c>
      <c r="O64">
        <v>19</v>
      </c>
      <c r="P64">
        <v>1815</v>
      </c>
    </row>
    <row r="65" spans="1:16" x14ac:dyDescent="0.35">
      <c r="A65">
        <v>64</v>
      </c>
      <c r="B65" t="s">
        <v>95</v>
      </c>
      <c r="C65" t="s">
        <v>21</v>
      </c>
      <c r="D65" t="s">
        <v>63</v>
      </c>
      <c r="E65" t="s">
        <v>23</v>
      </c>
      <c r="F65">
        <v>33</v>
      </c>
      <c r="G65" s="1">
        <v>45476</v>
      </c>
      <c r="H65" s="1"/>
      <c r="I65">
        <v>9446</v>
      </c>
      <c r="J65">
        <v>3.88</v>
      </c>
      <c r="K65">
        <v>5</v>
      </c>
      <c r="L65">
        <v>4</v>
      </c>
      <c r="M65">
        <v>14</v>
      </c>
      <c r="N65">
        <v>59</v>
      </c>
      <c r="O65">
        <v>20</v>
      </c>
      <c r="P65">
        <v>1880</v>
      </c>
    </row>
    <row r="66" spans="1:16" x14ac:dyDescent="0.35">
      <c r="A66">
        <v>65</v>
      </c>
      <c r="B66" t="s">
        <v>96</v>
      </c>
      <c r="C66" t="s">
        <v>25</v>
      </c>
      <c r="D66" t="s">
        <v>32</v>
      </c>
      <c r="E66" t="s">
        <v>23</v>
      </c>
      <c r="F66">
        <v>45</v>
      </c>
      <c r="G66" s="1">
        <v>44079</v>
      </c>
      <c r="H66" s="1"/>
      <c r="I66">
        <v>11749</v>
      </c>
      <c r="J66">
        <v>4.26</v>
      </c>
      <c r="K66">
        <v>4</v>
      </c>
      <c r="L66">
        <v>4</v>
      </c>
      <c r="M66">
        <v>20</v>
      </c>
      <c r="N66">
        <v>9</v>
      </c>
      <c r="O66">
        <v>31</v>
      </c>
      <c r="P66">
        <v>175</v>
      </c>
    </row>
    <row r="67" spans="1:16" x14ac:dyDescent="0.35">
      <c r="A67">
        <v>66</v>
      </c>
      <c r="B67" t="s">
        <v>58</v>
      </c>
      <c r="C67" t="s">
        <v>25</v>
      </c>
      <c r="D67" t="s">
        <v>26</v>
      </c>
      <c r="E67" t="s">
        <v>19</v>
      </c>
      <c r="F67">
        <v>38</v>
      </c>
      <c r="G67" s="1">
        <v>45158</v>
      </c>
      <c r="H67" s="1"/>
      <c r="I67">
        <v>11486</v>
      </c>
      <c r="J67">
        <v>2.54</v>
      </c>
      <c r="K67">
        <v>2</v>
      </c>
      <c r="L67">
        <v>4</v>
      </c>
      <c r="M67">
        <v>20</v>
      </c>
      <c r="N67">
        <v>9</v>
      </c>
      <c r="O67">
        <v>4</v>
      </c>
      <c r="P67">
        <v>1061</v>
      </c>
    </row>
    <row r="68" spans="1:16" x14ac:dyDescent="0.35">
      <c r="A68">
        <v>67</v>
      </c>
      <c r="B68" t="s">
        <v>97</v>
      </c>
      <c r="C68" t="s">
        <v>29</v>
      </c>
      <c r="D68" t="s">
        <v>30</v>
      </c>
      <c r="E68" t="s">
        <v>23</v>
      </c>
      <c r="F68">
        <v>32</v>
      </c>
      <c r="G68" s="1">
        <v>44487</v>
      </c>
      <c r="H68" s="1"/>
      <c r="I68">
        <v>14269</v>
      </c>
      <c r="J68">
        <v>4.3</v>
      </c>
      <c r="K68">
        <v>4</v>
      </c>
      <c r="L68">
        <v>5</v>
      </c>
      <c r="M68">
        <v>1</v>
      </c>
      <c r="N68">
        <v>39</v>
      </c>
      <c r="O68">
        <v>4</v>
      </c>
      <c r="P68">
        <v>580</v>
      </c>
    </row>
    <row r="69" spans="1:16" x14ac:dyDescent="0.35">
      <c r="A69">
        <v>68</v>
      </c>
      <c r="B69" t="s">
        <v>98</v>
      </c>
      <c r="C69" t="s">
        <v>17</v>
      </c>
      <c r="D69" t="s">
        <v>18</v>
      </c>
      <c r="E69" t="s">
        <v>19</v>
      </c>
      <c r="F69">
        <v>36</v>
      </c>
      <c r="G69" s="1">
        <v>44278</v>
      </c>
      <c r="H69" s="1"/>
      <c r="I69">
        <v>6725</v>
      </c>
      <c r="J69">
        <v>4.24</v>
      </c>
      <c r="K69">
        <v>1</v>
      </c>
      <c r="L69">
        <v>1</v>
      </c>
      <c r="M69">
        <v>10</v>
      </c>
      <c r="N69">
        <v>50</v>
      </c>
      <c r="O69">
        <v>3</v>
      </c>
      <c r="P69">
        <v>700</v>
      </c>
    </row>
    <row r="70" spans="1:16" x14ac:dyDescent="0.35">
      <c r="A70">
        <v>69</v>
      </c>
      <c r="B70" t="s">
        <v>99</v>
      </c>
      <c r="C70" t="s">
        <v>29</v>
      </c>
      <c r="D70" t="s">
        <v>30</v>
      </c>
      <c r="E70" t="s">
        <v>19</v>
      </c>
      <c r="F70">
        <v>27</v>
      </c>
      <c r="G70" s="1">
        <v>44636</v>
      </c>
      <c r="H70" s="1"/>
      <c r="I70">
        <v>6868</v>
      </c>
      <c r="J70">
        <v>2.7</v>
      </c>
      <c r="K70">
        <v>4</v>
      </c>
      <c r="L70">
        <v>5</v>
      </c>
      <c r="M70">
        <v>7</v>
      </c>
      <c r="N70">
        <v>31</v>
      </c>
      <c r="O70">
        <v>37</v>
      </c>
      <c r="P70">
        <v>393</v>
      </c>
    </row>
    <row r="71" spans="1:16" x14ac:dyDescent="0.35">
      <c r="A71">
        <v>70</v>
      </c>
      <c r="B71" t="s">
        <v>100</v>
      </c>
      <c r="C71" t="s">
        <v>25</v>
      </c>
      <c r="D71" t="s">
        <v>44</v>
      </c>
      <c r="E71" t="s">
        <v>19</v>
      </c>
      <c r="F71">
        <v>50</v>
      </c>
      <c r="G71" s="1">
        <v>44989</v>
      </c>
      <c r="H71" s="1"/>
      <c r="I71">
        <v>11622</v>
      </c>
      <c r="J71">
        <v>4.75</v>
      </c>
      <c r="K71">
        <v>5</v>
      </c>
      <c r="L71">
        <v>2</v>
      </c>
      <c r="M71">
        <v>2</v>
      </c>
      <c r="N71">
        <v>28</v>
      </c>
      <c r="O71">
        <v>22</v>
      </c>
      <c r="P71">
        <v>1303</v>
      </c>
    </row>
    <row r="72" spans="1:16" x14ac:dyDescent="0.35">
      <c r="A72">
        <v>71</v>
      </c>
      <c r="B72" t="s">
        <v>100</v>
      </c>
      <c r="C72" t="s">
        <v>29</v>
      </c>
      <c r="D72" t="s">
        <v>68</v>
      </c>
      <c r="E72" t="s">
        <v>23</v>
      </c>
      <c r="F72">
        <v>49</v>
      </c>
      <c r="G72" s="1">
        <v>44838</v>
      </c>
      <c r="H72" s="1"/>
      <c r="I72">
        <v>11916</v>
      </c>
      <c r="J72">
        <v>2.77</v>
      </c>
      <c r="K72">
        <v>4</v>
      </c>
      <c r="L72">
        <v>5</v>
      </c>
      <c r="M72">
        <v>11</v>
      </c>
      <c r="N72">
        <v>36</v>
      </c>
      <c r="O72">
        <v>18</v>
      </c>
      <c r="P72">
        <v>1532</v>
      </c>
    </row>
    <row r="73" spans="1:16" x14ac:dyDescent="0.35">
      <c r="A73">
        <v>72</v>
      </c>
      <c r="B73" t="s">
        <v>101</v>
      </c>
      <c r="C73" t="s">
        <v>29</v>
      </c>
      <c r="D73" t="s">
        <v>68</v>
      </c>
      <c r="E73" t="s">
        <v>19</v>
      </c>
      <c r="F73">
        <v>41</v>
      </c>
      <c r="G73" s="1">
        <v>43190</v>
      </c>
      <c r="H73" s="1"/>
      <c r="I73">
        <v>12138</v>
      </c>
      <c r="J73">
        <v>4.58</v>
      </c>
      <c r="K73">
        <v>3</v>
      </c>
      <c r="L73">
        <v>2</v>
      </c>
      <c r="M73">
        <v>19</v>
      </c>
      <c r="N73">
        <v>51</v>
      </c>
      <c r="O73">
        <v>22</v>
      </c>
      <c r="P73">
        <v>548</v>
      </c>
    </row>
    <row r="74" spans="1:16" x14ac:dyDescent="0.35">
      <c r="A74">
        <v>73</v>
      </c>
      <c r="B74" t="s">
        <v>91</v>
      </c>
      <c r="C74" t="s">
        <v>17</v>
      </c>
      <c r="D74" t="s">
        <v>18</v>
      </c>
      <c r="E74" t="s">
        <v>23</v>
      </c>
      <c r="F74">
        <v>47</v>
      </c>
      <c r="G74" s="1">
        <v>43879</v>
      </c>
      <c r="H74" s="1"/>
      <c r="I74">
        <v>11222</v>
      </c>
      <c r="J74">
        <v>2.58</v>
      </c>
      <c r="K74">
        <v>3</v>
      </c>
      <c r="L74">
        <v>2</v>
      </c>
      <c r="M74">
        <v>2</v>
      </c>
      <c r="N74">
        <v>58</v>
      </c>
      <c r="O74">
        <v>18</v>
      </c>
      <c r="P74">
        <v>769</v>
      </c>
    </row>
    <row r="75" spans="1:16" x14ac:dyDescent="0.35">
      <c r="A75">
        <v>74</v>
      </c>
      <c r="B75" t="s">
        <v>87</v>
      </c>
      <c r="C75" t="s">
        <v>17</v>
      </c>
      <c r="D75" t="s">
        <v>71</v>
      </c>
      <c r="E75" t="s">
        <v>19</v>
      </c>
      <c r="F75">
        <v>30</v>
      </c>
      <c r="G75" s="1">
        <v>44802</v>
      </c>
      <c r="H75" s="1">
        <v>45102</v>
      </c>
      <c r="I75">
        <v>11894</v>
      </c>
      <c r="J75">
        <v>4.92</v>
      </c>
      <c r="K75">
        <v>3</v>
      </c>
      <c r="L75">
        <v>3</v>
      </c>
      <c r="M75">
        <v>3</v>
      </c>
      <c r="N75">
        <v>29</v>
      </c>
      <c r="O75">
        <v>4</v>
      </c>
      <c r="P75">
        <v>388</v>
      </c>
    </row>
    <row r="76" spans="1:16" x14ac:dyDescent="0.35">
      <c r="A76">
        <v>75</v>
      </c>
      <c r="B76" t="s">
        <v>87</v>
      </c>
      <c r="C76" t="s">
        <v>25</v>
      </c>
      <c r="D76" t="s">
        <v>32</v>
      </c>
      <c r="E76" t="s">
        <v>23</v>
      </c>
      <c r="F76">
        <v>22</v>
      </c>
      <c r="G76" s="1">
        <v>44728</v>
      </c>
      <c r="H76" s="1"/>
      <c r="I76">
        <v>8332</v>
      </c>
      <c r="J76">
        <v>3.84</v>
      </c>
      <c r="K76">
        <v>4</v>
      </c>
      <c r="L76">
        <v>3</v>
      </c>
      <c r="M76">
        <v>8</v>
      </c>
      <c r="N76">
        <v>37</v>
      </c>
      <c r="O76">
        <v>24</v>
      </c>
      <c r="P76">
        <v>1784</v>
      </c>
    </row>
    <row r="77" spans="1:16" x14ac:dyDescent="0.35">
      <c r="A77">
        <v>76</v>
      </c>
      <c r="B77" t="s">
        <v>54</v>
      </c>
      <c r="C77" t="s">
        <v>17</v>
      </c>
      <c r="D77" t="s">
        <v>71</v>
      </c>
      <c r="E77" t="s">
        <v>19</v>
      </c>
      <c r="F77">
        <v>42</v>
      </c>
      <c r="G77" s="1">
        <v>44622</v>
      </c>
      <c r="H77" s="1">
        <v>45130</v>
      </c>
      <c r="I77">
        <v>5035</v>
      </c>
      <c r="J77">
        <v>4.09</v>
      </c>
      <c r="K77">
        <v>4</v>
      </c>
      <c r="L77">
        <v>3</v>
      </c>
      <c r="M77">
        <v>20</v>
      </c>
      <c r="N77">
        <v>26</v>
      </c>
      <c r="O77">
        <v>7</v>
      </c>
      <c r="P77">
        <v>386</v>
      </c>
    </row>
    <row r="78" spans="1:16" x14ac:dyDescent="0.35">
      <c r="A78">
        <v>77</v>
      </c>
      <c r="B78" t="s">
        <v>102</v>
      </c>
      <c r="C78" t="s">
        <v>39</v>
      </c>
      <c r="D78" t="s">
        <v>40</v>
      </c>
      <c r="E78" t="s">
        <v>19</v>
      </c>
      <c r="F78">
        <v>50</v>
      </c>
      <c r="G78" s="1">
        <v>43253</v>
      </c>
      <c r="H78" s="1"/>
      <c r="I78">
        <v>12807</v>
      </c>
      <c r="J78">
        <v>2.84</v>
      </c>
      <c r="K78">
        <v>4</v>
      </c>
      <c r="L78">
        <v>3</v>
      </c>
      <c r="M78">
        <v>17</v>
      </c>
      <c r="N78">
        <v>26</v>
      </c>
      <c r="O78">
        <v>37</v>
      </c>
      <c r="P78">
        <v>1620</v>
      </c>
    </row>
    <row r="79" spans="1:16" x14ac:dyDescent="0.35">
      <c r="A79">
        <v>78</v>
      </c>
      <c r="B79" t="s">
        <v>103</v>
      </c>
      <c r="C79" t="s">
        <v>17</v>
      </c>
      <c r="D79" t="s">
        <v>71</v>
      </c>
      <c r="E79" t="s">
        <v>23</v>
      </c>
      <c r="F79">
        <v>23</v>
      </c>
      <c r="G79" s="1">
        <v>43733</v>
      </c>
      <c r="H79" s="1"/>
      <c r="I79">
        <v>10070</v>
      </c>
      <c r="J79">
        <v>3.04</v>
      </c>
      <c r="K79">
        <v>4</v>
      </c>
      <c r="L79">
        <v>2</v>
      </c>
      <c r="M79">
        <v>11</v>
      </c>
      <c r="N79">
        <v>6</v>
      </c>
      <c r="O79">
        <v>23</v>
      </c>
      <c r="P79">
        <v>1215</v>
      </c>
    </row>
    <row r="80" spans="1:16" x14ac:dyDescent="0.35">
      <c r="A80">
        <v>79</v>
      </c>
      <c r="B80" t="s">
        <v>104</v>
      </c>
      <c r="C80" t="s">
        <v>17</v>
      </c>
      <c r="D80" t="s">
        <v>71</v>
      </c>
      <c r="E80" t="s">
        <v>19</v>
      </c>
      <c r="F80">
        <v>43</v>
      </c>
      <c r="G80" s="1">
        <v>44570</v>
      </c>
      <c r="H80" s="1">
        <v>45165</v>
      </c>
      <c r="I80">
        <v>7475</v>
      </c>
      <c r="J80">
        <v>4.0999999999999996</v>
      </c>
      <c r="K80">
        <v>5</v>
      </c>
      <c r="L80">
        <v>1</v>
      </c>
      <c r="M80">
        <v>1</v>
      </c>
      <c r="N80">
        <v>50</v>
      </c>
      <c r="O80">
        <v>21</v>
      </c>
      <c r="P80">
        <v>598</v>
      </c>
    </row>
    <row r="81" spans="1:16" x14ac:dyDescent="0.35">
      <c r="A81">
        <v>80</v>
      </c>
      <c r="B81" t="s">
        <v>105</v>
      </c>
      <c r="C81" t="s">
        <v>25</v>
      </c>
      <c r="D81" t="s">
        <v>32</v>
      </c>
      <c r="E81" t="s">
        <v>19</v>
      </c>
      <c r="F81">
        <v>32</v>
      </c>
      <c r="G81" s="1">
        <v>45413</v>
      </c>
      <c r="H81" s="1"/>
      <c r="I81">
        <v>6417</v>
      </c>
      <c r="J81">
        <v>4.47</v>
      </c>
      <c r="K81">
        <v>5</v>
      </c>
      <c r="L81">
        <v>1</v>
      </c>
      <c r="M81">
        <v>8</v>
      </c>
      <c r="N81">
        <v>54</v>
      </c>
      <c r="O81">
        <v>9</v>
      </c>
      <c r="P81">
        <v>366</v>
      </c>
    </row>
    <row r="82" spans="1:16" x14ac:dyDescent="0.35">
      <c r="A82">
        <v>81</v>
      </c>
      <c r="B82" t="s">
        <v>106</v>
      </c>
      <c r="C82" t="s">
        <v>21</v>
      </c>
      <c r="D82" t="s">
        <v>22</v>
      </c>
      <c r="E82" t="s">
        <v>19</v>
      </c>
      <c r="F82">
        <v>33</v>
      </c>
      <c r="G82" s="1">
        <v>44127</v>
      </c>
      <c r="H82" s="1"/>
      <c r="I82">
        <v>7898</v>
      </c>
      <c r="J82">
        <v>3.97</v>
      </c>
      <c r="K82">
        <v>1</v>
      </c>
      <c r="L82">
        <v>2</v>
      </c>
      <c r="M82">
        <v>8</v>
      </c>
      <c r="N82">
        <v>3</v>
      </c>
      <c r="O82">
        <v>8</v>
      </c>
      <c r="P82">
        <v>1619</v>
      </c>
    </row>
    <row r="83" spans="1:16" x14ac:dyDescent="0.35">
      <c r="A83">
        <v>82</v>
      </c>
      <c r="B83" t="s">
        <v>86</v>
      </c>
      <c r="C83" t="s">
        <v>36</v>
      </c>
      <c r="D83" t="s">
        <v>50</v>
      </c>
      <c r="E83" t="s">
        <v>19</v>
      </c>
      <c r="F83">
        <v>36</v>
      </c>
      <c r="G83" s="1">
        <v>45255</v>
      </c>
      <c r="H83" s="1">
        <v>45415</v>
      </c>
      <c r="I83">
        <v>12254</v>
      </c>
      <c r="J83">
        <v>3.05</v>
      </c>
      <c r="K83">
        <v>5</v>
      </c>
      <c r="L83">
        <v>1</v>
      </c>
      <c r="M83">
        <v>16</v>
      </c>
      <c r="N83">
        <v>19</v>
      </c>
      <c r="O83">
        <v>29</v>
      </c>
      <c r="P83">
        <v>1417</v>
      </c>
    </row>
    <row r="84" spans="1:16" x14ac:dyDescent="0.35">
      <c r="A84">
        <v>83</v>
      </c>
      <c r="B84" t="s">
        <v>107</v>
      </c>
      <c r="C84" t="s">
        <v>39</v>
      </c>
      <c r="D84" t="s">
        <v>40</v>
      </c>
      <c r="E84" t="s">
        <v>23</v>
      </c>
      <c r="F84">
        <v>44</v>
      </c>
      <c r="G84" s="1">
        <v>43350</v>
      </c>
      <c r="H84" s="1"/>
      <c r="I84">
        <v>11267</v>
      </c>
      <c r="J84">
        <v>2.68</v>
      </c>
      <c r="K84">
        <v>1</v>
      </c>
      <c r="L84">
        <v>3</v>
      </c>
      <c r="M84">
        <v>19</v>
      </c>
      <c r="N84">
        <v>9</v>
      </c>
      <c r="O84">
        <v>4</v>
      </c>
      <c r="P84">
        <v>358</v>
      </c>
    </row>
    <row r="85" spans="1:16" x14ac:dyDescent="0.35">
      <c r="A85">
        <v>84</v>
      </c>
      <c r="B85" t="s">
        <v>87</v>
      </c>
      <c r="C85" t="s">
        <v>29</v>
      </c>
      <c r="D85" t="s">
        <v>30</v>
      </c>
      <c r="E85" t="s">
        <v>23</v>
      </c>
      <c r="F85">
        <v>36</v>
      </c>
      <c r="G85" s="1">
        <v>45658</v>
      </c>
      <c r="H85" s="1"/>
      <c r="I85">
        <v>12282</v>
      </c>
      <c r="J85">
        <v>4.01</v>
      </c>
      <c r="K85">
        <v>1</v>
      </c>
      <c r="L85">
        <v>1</v>
      </c>
      <c r="M85">
        <v>20</v>
      </c>
      <c r="N85">
        <v>41</v>
      </c>
      <c r="O85">
        <v>35</v>
      </c>
      <c r="P85">
        <v>1576</v>
      </c>
    </row>
    <row r="86" spans="1:16" x14ac:dyDescent="0.35">
      <c r="A86">
        <v>85</v>
      </c>
      <c r="B86" t="s">
        <v>96</v>
      </c>
      <c r="C86" t="s">
        <v>25</v>
      </c>
      <c r="D86" t="s">
        <v>26</v>
      </c>
      <c r="E86" t="s">
        <v>23</v>
      </c>
      <c r="F86">
        <v>34</v>
      </c>
      <c r="G86" s="1">
        <v>44862</v>
      </c>
      <c r="H86" s="1"/>
      <c r="I86">
        <v>10815</v>
      </c>
      <c r="J86">
        <v>4.32</v>
      </c>
      <c r="K86">
        <v>3</v>
      </c>
      <c r="L86">
        <v>4</v>
      </c>
      <c r="M86">
        <v>10</v>
      </c>
      <c r="N86">
        <v>42</v>
      </c>
      <c r="O86">
        <v>16</v>
      </c>
      <c r="P86">
        <v>866</v>
      </c>
    </row>
    <row r="87" spans="1:16" x14ac:dyDescent="0.35">
      <c r="A87">
        <v>86</v>
      </c>
      <c r="B87" t="s">
        <v>98</v>
      </c>
      <c r="C87" t="s">
        <v>25</v>
      </c>
      <c r="D87" t="s">
        <v>32</v>
      </c>
      <c r="E87" t="s">
        <v>23</v>
      </c>
      <c r="F87">
        <v>47</v>
      </c>
      <c r="G87" s="1">
        <v>45043</v>
      </c>
      <c r="H87" s="1">
        <v>45247</v>
      </c>
      <c r="I87">
        <v>6131</v>
      </c>
      <c r="J87">
        <v>3.89</v>
      </c>
      <c r="K87">
        <v>5</v>
      </c>
      <c r="L87">
        <v>5</v>
      </c>
      <c r="M87">
        <v>17</v>
      </c>
      <c r="N87">
        <v>21</v>
      </c>
      <c r="O87">
        <v>7</v>
      </c>
      <c r="P87">
        <v>941</v>
      </c>
    </row>
    <row r="88" spans="1:16" x14ac:dyDescent="0.35">
      <c r="A88">
        <v>87</v>
      </c>
      <c r="B88" t="s">
        <v>108</v>
      </c>
      <c r="C88" t="s">
        <v>29</v>
      </c>
      <c r="D88" t="s">
        <v>30</v>
      </c>
      <c r="E88" t="s">
        <v>23</v>
      </c>
      <c r="F88">
        <v>25</v>
      </c>
      <c r="G88" s="1">
        <v>44833</v>
      </c>
      <c r="H88" s="1"/>
      <c r="I88">
        <v>13468</v>
      </c>
      <c r="J88">
        <v>3.77</v>
      </c>
      <c r="K88">
        <v>2</v>
      </c>
      <c r="L88">
        <v>4</v>
      </c>
      <c r="M88">
        <v>7</v>
      </c>
      <c r="N88">
        <v>54</v>
      </c>
      <c r="O88">
        <v>6</v>
      </c>
      <c r="P88">
        <v>817</v>
      </c>
    </row>
    <row r="89" spans="1:16" x14ac:dyDescent="0.35">
      <c r="A89">
        <v>88</v>
      </c>
      <c r="B89" t="s">
        <v>109</v>
      </c>
      <c r="C89" t="s">
        <v>21</v>
      </c>
      <c r="D89" t="s">
        <v>63</v>
      </c>
      <c r="E89" t="s">
        <v>19</v>
      </c>
      <c r="F89">
        <v>41</v>
      </c>
      <c r="G89" s="1">
        <v>44606</v>
      </c>
      <c r="H89" s="1">
        <v>45206</v>
      </c>
      <c r="I89">
        <v>14777</v>
      </c>
      <c r="J89">
        <v>4.57</v>
      </c>
      <c r="K89">
        <v>3</v>
      </c>
      <c r="L89">
        <v>1</v>
      </c>
      <c r="M89">
        <v>5</v>
      </c>
      <c r="N89">
        <v>17</v>
      </c>
      <c r="O89">
        <v>19</v>
      </c>
      <c r="P89">
        <v>1987</v>
      </c>
    </row>
    <row r="90" spans="1:16" x14ac:dyDescent="0.35">
      <c r="A90">
        <v>89</v>
      </c>
      <c r="B90" t="s">
        <v>79</v>
      </c>
      <c r="C90" t="s">
        <v>29</v>
      </c>
      <c r="D90" t="s">
        <v>68</v>
      </c>
      <c r="E90" t="s">
        <v>19</v>
      </c>
      <c r="F90">
        <v>45</v>
      </c>
      <c r="G90" s="1">
        <v>44538</v>
      </c>
      <c r="H90" s="1">
        <v>44861</v>
      </c>
      <c r="I90">
        <v>14373</v>
      </c>
      <c r="J90">
        <v>4.93</v>
      </c>
      <c r="K90">
        <v>1</v>
      </c>
      <c r="L90">
        <v>5</v>
      </c>
      <c r="M90">
        <v>6</v>
      </c>
      <c r="N90">
        <v>24</v>
      </c>
      <c r="O90">
        <v>26</v>
      </c>
      <c r="P90">
        <v>1029</v>
      </c>
    </row>
    <row r="91" spans="1:16" x14ac:dyDescent="0.35">
      <c r="A91">
        <v>90</v>
      </c>
      <c r="B91" t="s">
        <v>110</v>
      </c>
      <c r="C91" t="s">
        <v>29</v>
      </c>
      <c r="D91" t="s">
        <v>68</v>
      </c>
      <c r="E91" t="s">
        <v>19</v>
      </c>
      <c r="F91">
        <v>26</v>
      </c>
      <c r="G91" s="1">
        <v>43745</v>
      </c>
      <c r="H91" s="1"/>
      <c r="I91">
        <v>6579</v>
      </c>
      <c r="J91">
        <v>4.3899999999999997</v>
      </c>
      <c r="K91">
        <v>1</v>
      </c>
      <c r="L91">
        <v>1</v>
      </c>
      <c r="M91">
        <v>8</v>
      </c>
      <c r="N91">
        <v>28</v>
      </c>
      <c r="O91">
        <v>27</v>
      </c>
      <c r="P91">
        <v>1094</v>
      </c>
    </row>
    <row r="92" spans="1:16" x14ac:dyDescent="0.35">
      <c r="A92">
        <v>91</v>
      </c>
      <c r="B92" t="s">
        <v>111</v>
      </c>
      <c r="C92" t="s">
        <v>21</v>
      </c>
      <c r="D92" t="s">
        <v>22</v>
      </c>
      <c r="E92" t="s">
        <v>23</v>
      </c>
      <c r="F92">
        <v>35</v>
      </c>
      <c r="G92" s="1">
        <v>44911</v>
      </c>
      <c r="H92" s="1"/>
      <c r="I92">
        <v>5816</v>
      </c>
      <c r="J92">
        <v>3.21</v>
      </c>
      <c r="K92">
        <v>5</v>
      </c>
      <c r="L92">
        <v>4</v>
      </c>
      <c r="M92">
        <v>16</v>
      </c>
      <c r="N92">
        <v>42</v>
      </c>
      <c r="O92">
        <v>19</v>
      </c>
      <c r="P92">
        <v>193</v>
      </c>
    </row>
    <row r="93" spans="1:16" x14ac:dyDescent="0.35">
      <c r="A93">
        <v>92</v>
      </c>
      <c r="B93" t="s">
        <v>70</v>
      </c>
      <c r="C93" t="s">
        <v>25</v>
      </c>
      <c r="D93" t="s">
        <v>32</v>
      </c>
      <c r="E93" t="s">
        <v>23</v>
      </c>
      <c r="F93">
        <v>28</v>
      </c>
      <c r="G93" s="1">
        <v>44719</v>
      </c>
      <c r="H93" s="1"/>
      <c r="I93">
        <v>6248</v>
      </c>
      <c r="J93">
        <v>4.41</v>
      </c>
      <c r="K93">
        <v>3</v>
      </c>
      <c r="L93">
        <v>3</v>
      </c>
      <c r="M93">
        <v>3</v>
      </c>
      <c r="N93">
        <v>0</v>
      </c>
      <c r="O93">
        <v>31</v>
      </c>
      <c r="P93">
        <v>1629</v>
      </c>
    </row>
    <row r="94" spans="1:16" x14ac:dyDescent="0.35">
      <c r="A94">
        <v>93</v>
      </c>
      <c r="B94" t="s">
        <v>99</v>
      </c>
      <c r="C94" t="s">
        <v>36</v>
      </c>
      <c r="D94" t="s">
        <v>50</v>
      </c>
      <c r="E94" t="s">
        <v>19</v>
      </c>
      <c r="F94">
        <v>34</v>
      </c>
      <c r="G94" s="1">
        <v>43820</v>
      </c>
      <c r="H94" s="1">
        <v>44940</v>
      </c>
      <c r="I94">
        <v>4693</v>
      </c>
      <c r="J94">
        <v>3.59</v>
      </c>
      <c r="K94">
        <v>4</v>
      </c>
      <c r="L94">
        <v>1</v>
      </c>
      <c r="M94">
        <v>10</v>
      </c>
      <c r="N94">
        <v>36</v>
      </c>
      <c r="O94">
        <v>27</v>
      </c>
      <c r="P94">
        <v>1274</v>
      </c>
    </row>
    <row r="95" spans="1:16" x14ac:dyDescent="0.35">
      <c r="A95">
        <v>94</v>
      </c>
      <c r="B95" t="s">
        <v>112</v>
      </c>
      <c r="C95" t="s">
        <v>36</v>
      </c>
      <c r="D95" t="s">
        <v>50</v>
      </c>
      <c r="E95" t="s">
        <v>19</v>
      </c>
      <c r="F95">
        <v>47</v>
      </c>
      <c r="G95" s="1">
        <v>44811</v>
      </c>
      <c r="H95" s="1"/>
      <c r="I95">
        <v>14127</v>
      </c>
      <c r="J95">
        <v>3.65</v>
      </c>
      <c r="K95">
        <v>3</v>
      </c>
      <c r="L95">
        <v>1</v>
      </c>
      <c r="M95">
        <v>13</v>
      </c>
      <c r="N95">
        <v>54</v>
      </c>
      <c r="O95">
        <v>6</v>
      </c>
      <c r="P95">
        <v>598</v>
      </c>
    </row>
    <row r="96" spans="1:16" x14ac:dyDescent="0.35">
      <c r="A96">
        <v>95</v>
      </c>
      <c r="B96" t="s">
        <v>98</v>
      </c>
      <c r="C96" t="s">
        <v>36</v>
      </c>
      <c r="D96" t="s">
        <v>50</v>
      </c>
      <c r="E96" t="s">
        <v>23</v>
      </c>
      <c r="F96">
        <v>29</v>
      </c>
      <c r="G96" s="1">
        <v>45513</v>
      </c>
      <c r="H96" s="1"/>
      <c r="I96">
        <v>9456</v>
      </c>
      <c r="J96">
        <v>4.45</v>
      </c>
      <c r="K96">
        <v>1</v>
      </c>
      <c r="L96">
        <v>5</v>
      </c>
      <c r="M96">
        <v>20</v>
      </c>
      <c r="N96">
        <v>7</v>
      </c>
      <c r="O96">
        <v>33</v>
      </c>
      <c r="P96">
        <v>1144</v>
      </c>
    </row>
    <row r="97" spans="1:16" x14ac:dyDescent="0.35">
      <c r="A97">
        <v>96</v>
      </c>
      <c r="B97" t="s">
        <v>113</v>
      </c>
      <c r="C97" t="s">
        <v>25</v>
      </c>
      <c r="D97" t="s">
        <v>32</v>
      </c>
      <c r="E97" t="s">
        <v>19</v>
      </c>
      <c r="F97">
        <v>30</v>
      </c>
      <c r="G97" s="1">
        <v>44532</v>
      </c>
      <c r="H97" s="1"/>
      <c r="I97">
        <v>7232</v>
      </c>
      <c r="J97">
        <v>2.93</v>
      </c>
      <c r="K97">
        <v>2</v>
      </c>
      <c r="L97">
        <v>1</v>
      </c>
      <c r="M97">
        <v>5</v>
      </c>
      <c r="N97">
        <v>60</v>
      </c>
      <c r="O97">
        <v>40</v>
      </c>
      <c r="P97">
        <v>1111</v>
      </c>
    </row>
    <row r="98" spans="1:16" x14ac:dyDescent="0.35">
      <c r="A98">
        <v>97</v>
      </c>
      <c r="B98" t="s">
        <v>114</v>
      </c>
      <c r="C98" t="s">
        <v>36</v>
      </c>
      <c r="D98" t="s">
        <v>50</v>
      </c>
      <c r="E98" t="s">
        <v>23</v>
      </c>
      <c r="F98">
        <v>26</v>
      </c>
      <c r="G98" s="1">
        <v>45410</v>
      </c>
      <c r="H98" s="1"/>
      <c r="I98">
        <v>11205</v>
      </c>
      <c r="J98">
        <v>2.67</v>
      </c>
      <c r="K98">
        <v>4</v>
      </c>
      <c r="L98">
        <v>3</v>
      </c>
      <c r="M98">
        <v>8</v>
      </c>
      <c r="N98">
        <v>37</v>
      </c>
      <c r="O98">
        <v>3</v>
      </c>
      <c r="P98">
        <v>820</v>
      </c>
    </row>
    <row r="99" spans="1:16" x14ac:dyDescent="0.35">
      <c r="A99">
        <v>98</v>
      </c>
      <c r="B99" t="s">
        <v>47</v>
      </c>
      <c r="C99" t="s">
        <v>21</v>
      </c>
      <c r="D99" t="s">
        <v>22</v>
      </c>
      <c r="E99" t="s">
        <v>23</v>
      </c>
      <c r="F99">
        <v>48</v>
      </c>
      <c r="G99" s="1">
        <v>43404</v>
      </c>
      <c r="H99" s="1"/>
      <c r="I99">
        <v>8703</v>
      </c>
      <c r="J99">
        <v>2.69</v>
      </c>
      <c r="K99">
        <v>1</v>
      </c>
      <c r="L99">
        <v>5</v>
      </c>
      <c r="M99">
        <v>19</v>
      </c>
      <c r="N99">
        <v>32</v>
      </c>
      <c r="O99">
        <v>24</v>
      </c>
      <c r="P99">
        <v>1047</v>
      </c>
    </row>
    <row r="100" spans="1:16" x14ac:dyDescent="0.35">
      <c r="A100">
        <v>99</v>
      </c>
      <c r="B100" t="s">
        <v>115</v>
      </c>
      <c r="C100" t="s">
        <v>21</v>
      </c>
      <c r="D100" t="s">
        <v>22</v>
      </c>
      <c r="E100" t="s">
        <v>23</v>
      </c>
      <c r="F100">
        <v>41</v>
      </c>
      <c r="G100" s="1">
        <v>45371</v>
      </c>
      <c r="H100" s="1"/>
      <c r="I100">
        <v>11792</v>
      </c>
      <c r="J100">
        <v>3.75</v>
      </c>
      <c r="K100">
        <v>1</v>
      </c>
      <c r="L100">
        <v>4</v>
      </c>
      <c r="M100">
        <v>3</v>
      </c>
      <c r="N100">
        <v>51</v>
      </c>
      <c r="O100">
        <v>21</v>
      </c>
      <c r="P100">
        <v>1562</v>
      </c>
    </row>
    <row r="101" spans="1:16" x14ac:dyDescent="0.35">
      <c r="A101">
        <v>100</v>
      </c>
      <c r="B101" t="s">
        <v>116</v>
      </c>
      <c r="C101" t="s">
        <v>39</v>
      </c>
      <c r="D101" t="s">
        <v>61</v>
      </c>
      <c r="E101" t="s">
        <v>23</v>
      </c>
      <c r="F101">
        <v>38</v>
      </c>
      <c r="G101" s="1">
        <v>45167</v>
      </c>
      <c r="H101" s="1"/>
      <c r="I101">
        <v>12564</v>
      </c>
      <c r="J101">
        <v>4.0199999999999996</v>
      </c>
      <c r="K101">
        <v>3</v>
      </c>
      <c r="L101">
        <v>3</v>
      </c>
      <c r="M101">
        <v>9</v>
      </c>
      <c r="N101">
        <v>24</v>
      </c>
      <c r="O101">
        <v>26</v>
      </c>
      <c r="P101">
        <v>1686</v>
      </c>
    </row>
    <row r="102" spans="1:16" x14ac:dyDescent="0.35">
      <c r="A102">
        <v>101</v>
      </c>
      <c r="B102" t="s">
        <v>58</v>
      </c>
      <c r="C102" t="s">
        <v>29</v>
      </c>
      <c r="D102" t="s">
        <v>30</v>
      </c>
      <c r="E102" t="s">
        <v>19</v>
      </c>
      <c r="F102">
        <v>39</v>
      </c>
      <c r="G102" s="1">
        <v>45549</v>
      </c>
      <c r="H102" s="1"/>
      <c r="I102">
        <v>10333</v>
      </c>
      <c r="J102">
        <v>3.21</v>
      </c>
      <c r="K102">
        <v>5</v>
      </c>
      <c r="L102">
        <v>2</v>
      </c>
      <c r="M102">
        <v>10</v>
      </c>
      <c r="N102">
        <v>5</v>
      </c>
      <c r="O102">
        <v>37</v>
      </c>
      <c r="P102">
        <v>1459</v>
      </c>
    </row>
    <row r="103" spans="1:16" x14ac:dyDescent="0.35">
      <c r="A103">
        <v>102</v>
      </c>
      <c r="B103" t="s">
        <v>78</v>
      </c>
      <c r="C103" t="s">
        <v>25</v>
      </c>
      <c r="D103" t="s">
        <v>44</v>
      </c>
      <c r="E103" t="s">
        <v>19</v>
      </c>
      <c r="F103">
        <v>31</v>
      </c>
      <c r="G103" s="1">
        <v>44533</v>
      </c>
      <c r="H103" s="1"/>
      <c r="I103">
        <v>13157</v>
      </c>
      <c r="J103">
        <v>3.44</v>
      </c>
      <c r="K103">
        <v>3</v>
      </c>
      <c r="L103">
        <v>2</v>
      </c>
      <c r="M103">
        <v>16</v>
      </c>
      <c r="N103">
        <v>5</v>
      </c>
      <c r="O103">
        <v>27</v>
      </c>
      <c r="P103">
        <v>1141</v>
      </c>
    </row>
    <row r="104" spans="1:16" x14ac:dyDescent="0.35">
      <c r="A104">
        <v>103</v>
      </c>
      <c r="B104" t="s">
        <v>117</v>
      </c>
      <c r="C104" t="s">
        <v>29</v>
      </c>
      <c r="D104" t="s">
        <v>30</v>
      </c>
      <c r="E104" t="s">
        <v>23</v>
      </c>
      <c r="F104">
        <v>28</v>
      </c>
      <c r="G104" s="1">
        <v>43175</v>
      </c>
      <c r="H104" s="1"/>
      <c r="I104">
        <v>7711</v>
      </c>
      <c r="J104">
        <v>5</v>
      </c>
      <c r="K104">
        <v>2</v>
      </c>
      <c r="L104">
        <v>1</v>
      </c>
      <c r="M104">
        <v>9</v>
      </c>
      <c r="N104">
        <v>54</v>
      </c>
      <c r="O104">
        <v>6</v>
      </c>
      <c r="P104">
        <v>1139</v>
      </c>
    </row>
    <row r="105" spans="1:16" x14ac:dyDescent="0.35">
      <c r="A105">
        <v>104</v>
      </c>
      <c r="B105" t="s">
        <v>81</v>
      </c>
      <c r="C105" t="s">
        <v>21</v>
      </c>
      <c r="D105" t="s">
        <v>63</v>
      </c>
      <c r="E105" t="s">
        <v>19</v>
      </c>
      <c r="F105">
        <v>27</v>
      </c>
      <c r="G105" s="1">
        <v>45257</v>
      </c>
      <c r="H105" s="1"/>
      <c r="I105">
        <v>6962</v>
      </c>
      <c r="J105">
        <v>4.58</v>
      </c>
      <c r="K105">
        <v>5</v>
      </c>
      <c r="L105">
        <v>2</v>
      </c>
      <c r="M105">
        <v>14</v>
      </c>
      <c r="N105">
        <v>2</v>
      </c>
      <c r="O105">
        <v>26</v>
      </c>
      <c r="P105">
        <v>846</v>
      </c>
    </row>
    <row r="106" spans="1:16" x14ac:dyDescent="0.35">
      <c r="A106">
        <v>105</v>
      </c>
      <c r="B106" t="s">
        <v>118</v>
      </c>
      <c r="C106" t="s">
        <v>17</v>
      </c>
      <c r="D106" t="s">
        <v>71</v>
      </c>
      <c r="E106" t="s">
        <v>19</v>
      </c>
      <c r="F106">
        <v>39</v>
      </c>
      <c r="G106" s="1">
        <v>44073</v>
      </c>
      <c r="H106" s="1"/>
      <c r="I106">
        <v>7918</v>
      </c>
      <c r="J106">
        <v>3.27</v>
      </c>
      <c r="K106">
        <v>4</v>
      </c>
      <c r="L106">
        <v>2</v>
      </c>
      <c r="M106">
        <v>11</v>
      </c>
      <c r="N106">
        <v>43</v>
      </c>
      <c r="O106">
        <v>36</v>
      </c>
      <c r="P106">
        <v>1002</v>
      </c>
    </row>
    <row r="107" spans="1:16" x14ac:dyDescent="0.35">
      <c r="A107">
        <v>106</v>
      </c>
      <c r="B107" t="s">
        <v>92</v>
      </c>
      <c r="C107" t="s">
        <v>36</v>
      </c>
      <c r="D107" t="s">
        <v>50</v>
      </c>
      <c r="E107" t="s">
        <v>19</v>
      </c>
      <c r="F107">
        <v>48</v>
      </c>
      <c r="G107" s="1">
        <v>44255</v>
      </c>
      <c r="H107" s="1"/>
      <c r="I107">
        <v>7271</v>
      </c>
      <c r="J107">
        <v>4.5</v>
      </c>
      <c r="K107">
        <v>2</v>
      </c>
      <c r="L107">
        <v>3</v>
      </c>
      <c r="M107">
        <v>1</v>
      </c>
      <c r="N107">
        <v>41</v>
      </c>
      <c r="O107">
        <v>30</v>
      </c>
      <c r="P107">
        <v>1890</v>
      </c>
    </row>
    <row r="108" spans="1:16" x14ac:dyDescent="0.35">
      <c r="A108">
        <v>107</v>
      </c>
      <c r="B108" t="s">
        <v>119</v>
      </c>
      <c r="C108" t="s">
        <v>29</v>
      </c>
      <c r="D108" t="s">
        <v>30</v>
      </c>
      <c r="E108" t="s">
        <v>19</v>
      </c>
      <c r="F108">
        <v>46</v>
      </c>
      <c r="G108" s="1">
        <v>45372</v>
      </c>
      <c r="H108" s="1"/>
      <c r="I108">
        <v>6626</v>
      </c>
      <c r="J108">
        <v>3.18</v>
      </c>
      <c r="K108">
        <v>5</v>
      </c>
      <c r="L108">
        <v>2</v>
      </c>
      <c r="M108">
        <v>13</v>
      </c>
      <c r="N108">
        <v>5</v>
      </c>
      <c r="O108">
        <v>14</v>
      </c>
      <c r="P108">
        <v>1772</v>
      </c>
    </row>
    <row r="109" spans="1:16" x14ac:dyDescent="0.35">
      <c r="A109">
        <v>108</v>
      </c>
      <c r="B109" t="s">
        <v>120</v>
      </c>
      <c r="C109" t="s">
        <v>36</v>
      </c>
      <c r="D109" t="s">
        <v>50</v>
      </c>
      <c r="E109" t="s">
        <v>23</v>
      </c>
      <c r="F109">
        <v>29</v>
      </c>
      <c r="G109" s="1">
        <v>44532</v>
      </c>
      <c r="H109" s="1"/>
      <c r="I109">
        <v>10326</v>
      </c>
      <c r="J109">
        <v>4.99</v>
      </c>
      <c r="K109">
        <v>3</v>
      </c>
      <c r="L109">
        <v>2</v>
      </c>
      <c r="M109">
        <v>0</v>
      </c>
      <c r="N109">
        <v>20</v>
      </c>
      <c r="O109">
        <v>6</v>
      </c>
      <c r="P109">
        <v>1818</v>
      </c>
    </row>
    <row r="110" spans="1:16" x14ac:dyDescent="0.35">
      <c r="A110">
        <v>109</v>
      </c>
      <c r="B110" t="s">
        <v>121</v>
      </c>
      <c r="C110" t="s">
        <v>17</v>
      </c>
      <c r="D110" t="s">
        <v>71</v>
      </c>
      <c r="E110" t="s">
        <v>23</v>
      </c>
      <c r="F110">
        <v>44</v>
      </c>
      <c r="G110" s="1">
        <v>44474</v>
      </c>
      <c r="H110" s="1"/>
      <c r="I110">
        <v>6273</v>
      </c>
      <c r="J110">
        <v>4.4000000000000004</v>
      </c>
      <c r="K110">
        <v>4</v>
      </c>
      <c r="L110">
        <v>4</v>
      </c>
      <c r="M110">
        <v>19</v>
      </c>
      <c r="N110">
        <v>0</v>
      </c>
      <c r="O110">
        <v>5</v>
      </c>
      <c r="P110">
        <v>138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3F76-440A-4688-8F9C-89E47A353DDC}">
  <dimension ref="A1:P92"/>
  <sheetViews>
    <sheetView workbookViewId="0">
      <selection sqref="A1:A1048576"/>
    </sheetView>
  </sheetViews>
  <sheetFormatPr defaultRowHeight="14.5" x14ac:dyDescent="0.35"/>
  <cols>
    <col min="1" max="1" width="13.08984375" bestFit="1" customWidth="1"/>
    <col min="2" max="2" width="18.90625" bestFit="1" customWidth="1"/>
    <col min="3" max="3" width="13.36328125" bestFit="1" customWidth="1"/>
    <col min="4" max="4" width="17.54296875" bestFit="1" customWidth="1"/>
    <col min="5" max="5" width="9.26953125" bestFit="1" customWidth="1"/>
    <col min="6" max="6" width="6.1796875" bestFit="1" customWidth="1"/>
    <col min="7" max="7" width="10.54296875" bestFit="1" customWidth="1"/>
    <col min="8" max="8" width="10.453125" bestFit="1" customWidth="1"/>
    <col min="9" max="9" width="8.08984375" bestFit="1" customWidth="1"/>
    <col min="10" max="10" width="18.54296875" bestFit="1" customWidth="1"/>
    <col min="11" max="11" width="17.453125" bestFit="1" customWidth="1"/>
    <col min="12" max="12" width="18.08984375" bestFit="1" customWidth="1"/>
    <col min="13" max="13" width="14.08984375" bestFit="1" customWidth="1"/>
    <col min="14" max="14" width="16" bestFit="1" customWidth="1"/>
    <col min="15" max="15" width="14.81640625" bestFit="1" customWidth="1"/>
    <col min="16" max="16" width="13.542968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110</v>
      </c>
      <c r="B2" t="s">
        <v>41</v>
      </c>
      <c r="C2" t="s">
        <v>29</v>
      </c>
      <c r="D2" t="s">
        <v>30</v>
      </c>
      <c r="E2" t="s">
        <v>19</v>
      </c>
      <c r="F2">
        <v>46</v>
      </c>
      <c r="G2" s="1">
        <v>43984</v>
      </c>
      <c r="H2" s="1"/>
      <c r="I2">
        <v>8720</v>
      </c>
      <c r="J2">
        <v>3.09</v>
      </c>
      <c r="K2">
        <v>1</v>
      </c>
      <c r="L2">
        <v>1</v>
      </c>
      <c r="M2">
        <v>7</v>
      </c>
      <c r="N2">
        <v>26</v>
      </c>
      <c r="O2">
        <v>40</v>
      </c>
      <c r="P2">
        <v>1725</v>
      </c>
    </row>
    <row r="3" spans="1:16" x14ac:dyDescent="0.35">
      <c r="A3">
        <v>111</v>
      </c>
      <c r="B3" t="s">
        <v>42</v>
      </c>
      <c r="C3" t="s">
        <v>21</v>
      </c>
      <c r="D3" t="s">
        <v>22</v>
      </c>
      <c r="E3" t="s">
        <v>19</v>
      </c>
      <c r="F3">
        <v>44</v>
      </c>
      <c r="G3" s="1">
        <v>44973</v>
      </c>
      <c r="H3" s="1"/>
      <c r="I3">
        <v>6352</v>
      </c>
      <c r="J3">
        <v>3.23</v>
      </c>
      <c r="K3">
        <v>1</v>
      </c>
      <c r="L3">
        <v>5</v>
      </c>
      <c r="M3">
        <v>11</v>
      </c>
      <c r="N3">
        <v>15</v>
      </c>
      <c r="O3">
        <v>36</v>
      </c>
      <c r="P3">
        <v>953</v>
      </c>
    </row>
    <row r="4" spans="1:16" x14ac:dyDescent="0.35">
      <c r="A4">
        <v>112</v>
      </c>
      <c r="B4" t="s">
        <v>43</v>
      </c>
      <c r="C4" t="s">
        <v>25</v>
      </c>
      <c r="D4" t="s">
        <v>44</v>
      </c>
      <c r="E4" t="s">
        <v>19</v>
      </c>
      <c r="F4">
        <v>34</v>
      </c>
      <c r="G4" s="1">
        <v>43451</v>
      </c>
      <c r="H4" s="1"/>
      <c r="I4">
        <v>11702</v>
      </c>
      <c r="J4">
        <v>2.61</v>
      </c>
      <c r="K4">
        <v>4</v>
      </c>
      <c r="L4">
        <v>3</v>
      </c>
      <c r="M4">
        <v>8</v>
      </c>
      <c r="N4">
        <v>47</v>
      </c>
      <c r="O4">
        <v>1</v>
      </c>
      <c r="P4">
        <v>831</v>
      </c>
    </row>
    <row r="5" spans="1:16" x14ac:dyDescent="0.35">
      <c r="A5">
        <v>113</v>
      </c>
      <c r="B5" t="s">
        <v>45</v>
      </c>
      <c r="C5" t="s">
        <v>39</v>
      </c>
      <c r="D5" t="s">
        <v>46</v>
      </c>
      <c r="E5" t="s">
        <v>19</v>
      </c>
      <c r="F5">
        <v>23</v>
      </c>
      <c r="G5" s="1">
        <v>44513</v>
      </c>
      <c r="H5" s="1"/>
      <c r="I5">
        <v>9772</v>
      </c>
      <c r="J5">
        <v>3.87</v>
      </c>
      <c r="K5">
        <v>2</v>
      </c>
      <c r="L5">
        <v>4</v>
      </c>
      <c r="M5">
        <v>15</v>
      </c>
      <c r="N5">
        <v>40</v>
      </c>
      <c r="O5">
        <v>11</v>
      </c>
      <c r="P5">
        <v>1761</v>
      </c>
    </row>
    <row r="6" spans="1:16" x14ac:dyDescent="0.35">
      <c r="A6">
        <v>114</v>
      </c>
      <c r="B6" t="s">
        <v>47</v>
      </c>
      <c r="C6" t="s">
        <v>25</v>
      </c>
      <c r="D6" t="s">
        <v>26</v>
      </c>
      <c r="E6" t="s">
        <v>19</v>
      </c>
      <c r="F6">
        <v>23</v>
      </c>
      <c r="G6" s="1">
        <v>43359</v>
      </c>
      <c r="H6" s="1"/>
      <c r="I6">
        <v>7268</v>
      </c>
      <c r="J6">
        <v>4.71</v>
      </c>
      <c r="K6">
        <v>3</v>
      </c>
      <c r="L6">
        <v>3</v>
      </c>
      <c r="M6">
        <v>16</v>
      </c>
      <c r="N6">
        <v>25</v>
      </c>
      <c r="O6">
        <v>34</v>
      </c>
      <c r="P6">
        <v>1069</v>
      </c>
    </row>
    <row r="7" spans="1:16" x14ac:dyDescent="0.35">
      <c r="A7">
        <v>115</v>
      </c>
      <c r="B7" t="s">
        <v>48</v>
      </c>
      <c r="C7" t="s">
        <v>29</v>
      </c>
      <c r="D7" t="s">
        <v>30</v>
      </c>
      <c r="E7" t="s">
        <v>19</v>
      </c>
      <c r="F7">
        <v>49</v>
      </c>
      <c r="G7" s="1">
        <v>43250</v>
      </c>
      <c r="H7" s="1"/>
      <c r="I7">
        <v>14743</v>
      </c>
      <c r="J7">
        <v>3.33</v>
      </c>
      <c r="K7">
        <v>1</v>
      </c>
      <c r="L7">
        <v>3</v>
      </c>
      <c r="M7">
        <v>13</v>
      </c>
      <c r="N7">
        <v>56</v>
      </c>
      <c r="O7">
        <v>25</v>
      </c>
      <c r="P7">
        <v>1622</v>
      </c>
    </row>
    <row r="8" spans="1:16" x14ac:dyDescent="0.35">
      <c r="A8">
        <v>116</v>
      </c>
      <c r="B8" t="s">
        <v>49</v>
      </c>
      <c r="C8" t="s">
        <v>36</v>
      </c>
      <c r="D8" t="s">
        <v>50</v>
      </c>
      <c r="E8" t="s">
        <v>23</v>
      </c>
      <c r="F8">
        <v>47</v>
      </c>
      <c r="G8" s="1">
        <v>44684</v>
      </c>
      <c r="H8" s="1"/>
      <c r="I8">
        <v>12507</v>
      </c>
      <c r="J8">
        <v>3.17</v>
      </c>
      <c r="K8">
        <v>1</v>
      </c>
      <c r="L8">
        <v>4</v>
      </c>
      <c r="M8">
        <v>2</v>
      </c>
      <c r="N8">
        <v>27</v>
      </c>
      <c r="O8">
        <v>38</v>
      </c>
      <c r="P8">
        <v>1784</v>
      </c>
    </row>
    <row r="9" spans="1:16" x14ac:dyDescent="0.35">
      <c r="A9">
        <v>117</v>
      </c>
      <c r="B9" t="s">
        <v>51</v>
      </c>
      <c r="C9" t="s">
        <v>25</v>
      </c>
      <c r="D9" t="s">
        <v>26</v>
      </c>
      <c r="E9" t="s">
        <v>23</v>
      </c>
      <c r="F9">
        <v>31</v>
      </c>
      <c r="G9" s="1">
        <v>45335</v>
      </c>
      <c r="H9" s="1"/>
      <c r="I9">
        <v>11305</v>
      </c>
      <c r="J9">
        <v>4.01</v>
      </c>
      <c r="K9">
        <v>4</v>
      </c>
      <c r="L9">
        <v>2</v>
      </c>
      <c r="M9">
        <v>14</v>
      </c>
      <c r="N9">
        <v>22</v>
      </c>
      <c r="O9">
        <v>28</v>
      </c>
      <c r="P9">
        <v>186</v>
      </c>
    </row>
    <row r="10" spans="1:16" x14ac:dyDescent="0.35">
      <c r="A10">
        <v>118</v>
      </c>
      <c r="B10" t="s">
        <v>52</v>
      </c>
      <c r="C10" t="s">
        <v>17</v>
      </c>
      <c r="D10" t="s">
        <v>18</v>
      </c>
      <c r="E10" t="s">
        <v>19</v>
      </c>
      <c r="F10">
        <v>43</v>
      </c>
      <c r="G10" s="1">
        <v>44545</v>
      </c>
      <c r="H10" s="1"/>
      <c r="I10">
        <v>14445</v>
      </c>
      <c r="J10">
        <v>3.52</v>
      </c>
      <c r="K10">
        <v>5</v>
      </c>
      <c r="L10">
        <v>2</v>
      </c>
      <c r="M10">
        <v>0</v>
      </c>
      <c r="N10">
        <v>9</v>
      </c>
      <c r="O10">
        <v>38</v>
      </c>
      <c r="P10">
        <v>1488</v>
      </c>
    </row>
    <row r="11" spans="1:16" x14ac:dyDescent="0.35">
      <c r="A11">
        <v>119</v>
      </c>
      <c r="B11" t="s">
        <v>53</v>
      </c>
      <c r="C11" t="s">
        <v>36</v>
      </c>
      <c r="D11" t="s">
        <v>50</v>
      </c>
      <c r="E11" t="s">
        <v>19</v>
      </c>
      <c r="F11">
        <v>41</v>
      </c>
      <c r="G11" s="1">
        <v>43243</v>
      </c>
      <c r="H11" s="1">
        <v>43756</v>
      </c>
      <c r="I11">
        <v>6513</v>
      </c>
      <c r="J11">
        <v>4.2</v>
      </c>
      <c r="K11">
        <v>3</v>
      </c>
      <c r="L11">
        <v>3</v>
      </c>
      <c r="M11">
        <v>14</v>
      </c>
      <c r="N11">
        <v>48</v>
      </c>
      <c r="O11">
        <v>4</v>
      </c>
      <c r="P11">
        <v>1275</v>
      </c>
    </row>
    <row r="12" spans="1:16" x14ac:dyDescent="0.35">
      <c r="A12">
        <v>120</v>
      </c>
      <c r="B12" t="s">
        <v>122</v>
      </c>
      <c r="C12" t="s">
        <v>25</v>
      </c>
      <c r="D12" t="s">
        <v>32</v>
      </c>
      <c r="E12" t="s">
        <v>19</v>
      </c>
      <c r="F12">
        <v>22</v>
      </c>
      <c r="G12" s="1">
        <v>45269</v>
      </c>
      <c r="H12" s="1"/>
      <c r="I12">
        <v>7048</v>
      </c>
      <c r="J12">
        <v>3.75</v>
      </c>
      <c r="K12">
        <v>4</v>
      </c>
      <c r="L12">
        <v>5</v>
      </c>
      <c r="M12">
        <v>3</v>
      </c>
      <c r="N12">
        <v>16</v>
      </c>
      <c r="O12">
        <v>16</v>
      </c>
      <c r="P12">
        <v>1541</v>
      </c>
    </row>
    <row r="13" spans="1:16" x14ac:dyDescent="0.35">
      <c r="A13">
        <v>121</v>
      </c>
      <c r="B13" t="s">
        <v>123</v>
      </c>
      <c r="C13" t="s">
        <v>36</v>
      </c>
      <c r="D13" t="s">
        <v>37</v>
      </c>
      <c r="E13" t="s">
        <v>19</v>
      </c>
      <c r="F13">
        <v>26</v>
      </c>
      <c r="G13" s="1">
        <v>43979</v>
      </c>
      <c r="H13" s="1"/>
      <c r="I13">
        <v>5213</v>
      </c>
      <c r="J13">
        <v>3.63</v>
      </c>
      <c r="K13">
        <v>4</v>
      </c>
      <c r="L13">
        <v>1</v>
      </c>
      <c r="M13">
        <v>10</v>
      </c>
      <c r="N13">
        <v>42</v>
      </c>
      <c r="O13">
        <v>22</v>
      </c>
      <c r="P13">
        <v>1553</v>
      </c>
    </row>
    <row r="14" spans="1:16" x14ac:dyDescent="0.35">
      <c r="A14">
        <v>122</v>
      </c>
      <c r="B14" t="s">
        <v>124</v>
      </c>
      <c r="C14" t="s">
        <v>39</v>
      </c>
      <c r="D14" t="s">
        <v>56</v>
      </c>
      <c r="E14" t="s">
        <v>23</v>
      </c>
      <c r="F14">
        <v>38</v>
      </c>
      <c r="G14" s="1">
        <v>45353</v>
      </c>
      <c r="H14" s="1"/>
      <c r="I14">
        <v>7673</v>
      </c>
      <c r="J14">
        <v>2.8</v>
      </c>
      <c r="K14">
        <v>2</v>
      </c>
      <c r="L14">
        <v>2</v>
      </c>
      <c r="M14">
        <v>7</v>
      </c>
      <c r="N14">
        <v>50</v>
      </c>
      <c r="O14">
        <v>31</v>
      </c>
      <c r="P14">
        <v>153</v>
      </c>
    </row>
    <row r="15" spans="1:16" x14ac:dyDescent="0.35">
      <c r="A15">
        <v>123</v>
      </c>
      <c r="B15" t="s">
        <v>125</v>
      </c>
      <c r="C15" t="s">
        <v>29</v>
      </c>
      <c r="D15" t="s">
        <v>68</v>
      </c>
      <c r="E15" t="s">
        <v>19</v>
      </c>
      <c r="F15">
        <v>24</v>
      </c>
      <c r="G15" s="1">
        <v>45370</v>
      </c>
      <c r="H15" s="1"/>
      <c r="I15">
        <v>9067</v>
      </c>
      <c r="J15">
        <v>3.5</v>
      </c>
      <c r="K15">
        <v>4</v>
      </c>
      <c r="L15">
        <v>5</v>
      </c>
      <c r="M15">
        <v>13</v>
      </c>
      <c r="N15">
        <v>49</v>
      </c>
      <c r="O15">
        <v>26</v>
      </c>
      <c r="P15">
        <v>1786</v>
      </c>
    </row>
    <row r="16" spans="1:16" x14ac:dyDescent="0.35">
      <c r="A16">
        <v>124</v>
      </c>
      <c r="B16" t="s">
        <v>126</v>
      </c>
      <c r="C16" t="s">
        <v>21</v>
      </c>
      <c r="D16" t="s">
        <v>63</v>
      </c>
      <c r="E16" t="s">
        <v>23</v>
      </c>
      <c r="F16">
        <v>26</v>
      </c>
      <c r="G16" s="1">
        <v>43403</v>
      </c>
      <c r="H16" s="1">
        <v>44082</v>
      </c>
      <c r="I16">
        <v>13032</v>
      </c>
      <c r="J16">
        <v>4.0999999999999996</v>
      </c>
      <c r="K16">
        <v>2</v>
      </c>
      <c r="L16">
        <v>2</v>
      </c>
      <c r="M16">
        <v>13</v>
      </c>
      <c r="N16">
        <v>32</v>
      </c>
      <c r="O16">
        <v>3</v>
      </c>
      <c r="P16">
        <v>1802</v>
      </c>
    </row>
    <row r="17" spans="1:16" x14ac:dyDescent="0.35">
      <c r="A17">
        <v>125</v>
      </c>
      <c r="B17" t="s">
        <v>127</v>
      </c>
      <c r="C17" t="s">
        <v>39</v>
      </c>
      <c r="D17" t="s">
        <v>56</v>
      </c>
      <c r="E17" t="s">
        <v>23</v>
      </c>
      <c r="F17">
        <v>38</v>
      </c>
      <c r="G17" s="1">
        <v>45223</v>
      </c>
      <c r="H17" s="1">
        <v>45590</v>
      </c>
      <c r="I17">
        <v>8653</v>
      </c>
      <c r="J17">
        <v>4.6100000000000003</v>
      </c>
      <c r="K17">
        <v>3</v>
      </c>
      <c r="L17">
        <v>2</v>
      </c>
      <c r="M17">
        <v>20</v>
      </c>
      <c r="N17">
        <v>35</v>
      </c>
      <c r="O17">
        <v>17</v>
      </c>
      <c r="P17">
        <v>356</v>
      </c>
    </row>
    <row r="18" spans="1:16" x14ac:dyDescent="0.35">
      <c r="A18">
        <v>126</v>
      </c>
      <c r="B18" t="s">
        <v>128</v>
      </c>
      <c r="C18" t="s">
        <v>17</v>
      </c>
      <c r="D18" t="s">
        <v>18</v>
      </c>
      <c r="E18" t="s">
        <v>19</v>
      </c>
      <c r="F18">
        <v>27</v>
      </c>
      <c r="G18" s="1">
        <v>44341</v>
      </c>
      <c r="H18" s="1"/>
      <c r="I18">
        <v>14792</v>
      </c>
      <c r="J18">
        <v>4.0599999999999996</v>
      </c>
      <c r="K18">
        <v>5</v>
      </c>
      <c r="L18">
        <v>3</v>
      </c>
      <c r="M18">
        <v>18</v>
      </c>
      <c r="N18">
        <v>2</v>
      </c>
      <c r="O18">
        <v>1</v>
      </c>
      <c r="P18">
        <v>266</v>
      </c>
    </row>
    <row r="19" spans="1:16" x14ac:dyDescent="0.35">
      <c r="A19">
        <v>127</v>
      </c>
      <c r="B19" t="s">
        <v>105</v>
      </c>
      <c r="C19" t="s">
        <v>39</v>
      </c>
      <c r="D19" t="s">
        <v>61</v>
      </c>
      <c r="E19" t="s">
        <v>19</v>
      </c>
      <c r="F19">
        <v>37</v>
      </c>
      <c r="G19" s="1">
        <v>45463</v>
      </c>
      <c r="H19" s="1"/>
      <c r="I19">
        <v>14275</v>
      </c>
      <c r="J19">
        <v>3.86</v>
      </c>
      <c r="K19">
        <v>3</v>
      </c>
      <c r="L19">
        <v>4</v>
      </c>
      <c r="M19">
        <v>7</v>
      </c>
      <c r="N19">
        <v>51</v>
      </c>
      <c r="O19">
        <v>25</v>
      </c>
      <c r="P19">
        <v>709</v>
      </c>
    </row>
    <row r="20" spans="1:16" x14ac:dyDescent="0.35">
      <c r="A20">
        <v>128</v>
      </c>
      <c r="B20" t="s">
        <v>49</v>
      </c>
      <c r="C20" t="s">
        <v>36</v>
      </c>
      <c r="D20" t="s">
        <v>50</v>
      </c>
      <c r="E20" t="s">
        <v>23</v>
      </c>
      <c r="F20">
        <v>36</v>
      </c>
      <c r="G20" s="1">
        <v>43399</v>
      </c>
      <c r="H20" s="1"/>
      <c r="I20">
        <v>7342</v>
      </c>
      <c r="J20">
        <v>3.35</v>
      </c>
      <c r="K20">
        <v>2</v>
      </c>
      <c r="L20">
        <v>3</v>
      </c>
      <c r="M20">
        <v>10</v>
      </c>
      <c r="N20">
        <v>46</v>
      </c>
      <c r="O20">
        <v>22</v>
      </c>
      <c r="P20">
        <v>916</v>
      </c>
    </row>
    <row r="21" spans="1:16" x14ac:dyDescent="0.35">
      <c r="A21">
        <v>129</v>
      </c>
      <c r="B21" t="s">
        <v>24</v>
      </c>
      <c r="C21" t="s">
        <v>25</v>
      </c>
      <c r="D21" t="s">
        <v>32</v>
      </c>
      <c r="E21" t="s">
        <v>23</v>
      </c>
      <c r="F21">
        <v>25</v>
      </c>
      <c r="G21" s="1">
        <v>44618</v>
      </c>
      <c r="H21" s="1"/>
      <c r="I21">
        <v>8382</v>
      </c>
      <c r="J21">
        <v>3.62</v>
      </c>
      <c r="K21">
        <v>2</v>
      </c>
      <c r="L21">
        <v>1</v>
      </c>
      <c r="M21">
        <v>1</v>
      </c>
      <c r="N21">
        <v>18</v>
      </c>
      <c r="O21">
        <v>24</v>
      </c>
      <c r="P21">
        <v>1869</v>
      </c>
    </row>
    <row r="22" spans="1:16" x14ac:dyDescent="0.35">
      <c r="A22">
        <v>130</v>
      </c>
      <c r="B22" t="s">
        <v>110</v>
      </c>
      <c r="C22" t="s">
        <v>21</v>
      </c>
      <c r="D22" t="s">
        <v>63</v>
      </c>
      <c r="E22" t="s">
        <v>19</v>
      </c>
      <c r="F22">
        <v>46</v>
      </c>
      <c r="G22" s="1">
        <v>44813</v>
      </c>
      <c r="H22" s="1">
        <v>45170</v>
      </c>
      <c r="I22">
        <v>6610</v>
      </c>
      <c r="J22">
        <v>3.75</v>
      </c>
      <c r="K22">
        <v>5</v>
      </c>
      <c r="L22">
        <v>4</v>
      </c>
      <c r="M22">
        <v>15</v>
      </c>
      <c r="N22">
        <v>56</v>
      </c>
      <c r="O22">
        <v>19</v>
      </c>
      <c r="P22">
        <v>1118</v>
      </c>
    </row>
    <row r="23" spans="1:16" x14ac:dyDescent="0.35">
      <c r="A23">
        <v>131</v>
      </c>
      <c r="B23" t="s">
        <v>57</v>
      </c>
      <c r="C23" t="s">
        <v>39</v>
      </c>
      <c r="D23" t="s">
        <v>56</v>
      </c>
      <c r="E23" t="s">
        <v>19</v>
      </c>
      <c r="F23">
        <v>40</v>
      </c>
      <c r="G23" s="1">
        <v>43469</v>
      </c>
      <c r="H23" s="1"/>
      <c r="I23">
        <v>9781</v>
      </c>
      <c r="J23">
        <v>2.62</v>
      </c>
      <c r="K23">
        <v>3</v>
      </c>
      <c r="L23">
        <v>4</v>
      </c>
      <c r="M23">
        <v>19</v>
      </c>
      <c r="N23">
        <v>56</v>
      </c>
      <c r="O23">
        <v>30</v>
      </c>
      <c r="P23">
        <v>685</v>
      </c>
    </row>
    <row r="24" spans="1:16" x14ac:dyDescent="0.35">
      <c r="A24">
        <v>132</v>
      </c>
      <c r="B24" t="s">
        <v>129</v>
      </c>
      <c r="C24" t="s">
        <v>21</v>
      </c>
      <c r="D24" t="s">
        <v>63</v>
      </c>
      <c r="E24" t="s">
        <v>23</v>
      </c>
      <c r="F24">
        <v>46</v>
      </c>
      <c r="G24" s="1">
        <v>43134</v>
      </c>
      <c r="H24" s="1"/>
      <c r="I24">
        <v>10606</v>
      </c>
      <c r="J24">
        <v>3.41</v>
      </c>
      <c r="K24">
        <v>4</v>
      </c>
      <c r="L24">
        <v>1</v>
      </c>
      <c r="M24">
        <v>18</v>
      </c>
      <c r="N24">
        <v>35</v>
      </c>
      <c r="O24">
        <v>12</v>
      </c>
      <c r="P24">
        <v>842</v>
      </c>
    </row>
    <row r="25" spans="1:16" x14ac:dyDescent="0.35">
      <c r="A25">
        <v>133</v>
      </c>
      <c r="B25" t="s">
        <v>125</v>
      </c>
      <c r="C25" t="s">
        <v>21</v>
      </c>
      <c r="D25" t="s">
        <v>63</v>
      </c>
      <c r="E25" t="s">
        <v>19</v>
      </c>
      <c r="F25">
        <v>26</v>
      </c>
      <c r="G25" s="1">
        <v>44283</v>
      </c>
      <c r="H25" s="1">
        <v>45345</v>
      </c>
      <c r="I25">
        <v>5584</v>
      </c>
      <c r="J25">
        <v>3.48</v>
      </c>
      <c r="K25">
        <v>3</v>
      </c>
      <c r="L25">
        <v>5</v>
      </c>
      <c r="M25">
        <v>11</v>
      </c>
      <c r="N25">
        <v>48</v>
      </c>
      <c r="O25">
        <v>9</v>
      </c>
      <c r="P25">
        <v>507</v>
      </c>
    </row>
    <row r="26" spans="1:16" x14ac:dyDescent="0.35">
      <c r="A26">
        <v>134</v>
      </c>
      <c r="B26" t="s">
        <v>70</v>
      </c>
      <c r="C26" t="s">
        <v>21</v>
      </c>
      <c r="D26" t="s">
        <v>22</v>
      </c>
      <c r="E26" t="s">
        <v>19</v>
      </c>
      <c r="F26">
        <v>44</v>
      </c>
      <c r="G26" s="1">
        <v>45186</v>
      </c>
      <c r="H26" s="1"/>
      <c r="I26">
        <v>9456</v>
      </c>
      <c r="J26">
        <v>4.51</v>
      </c>
      <c r="K26">
        <v>5</v>
      </c>
      <c r="L26">
        <v>4</v>
      </c>
      <c r="M26">
        <v>4</v>
      </c>
      <c r="N26">
        <v>38</v>
      </c>
      <c r="O26">
        <v>32</v>
      </c>
      <c r="P26">
        <v>386</v>
      </c>
    </row>
    <row r="27" spans="1:16" x14ac:dyDescent="0.35">
      <c r="A27">
        <v>135</v>
      </c>
      <c r="B27" t="s">
        <v>130</v>
      </c>
      <c r="C27" t="s">
        <v>29</v>
      </c>
      <c r="D27" t="s">
        <v>30</v>
      </c>
      <c r="E27" t="s">
        <v>23</v>
      </c>
      <c r="F27">
        <v>38</v>
      </c>
      <c r="G27" s="1">
        <v>45612</v>
      </c>
      <c r="H27" s="1"/>
      <c r="I27">
        <v>12351</v>
      </c>
      <c r="J27">
        <v>3.83</v>
      </c>
      <c r="K27">
        <v>5</v>
      </c>
      <c r="L27">
        <v>3</v>
      </c>
      <c r="M27">
        <v>15</v>
      </c>
      <c r="N27">
        <v>52</v>
      </c>
      <c r="O27">
        <v>1</v>
      </c>
      <c r="P27">
        <v>854</v>
      </c>
    </row>
    <row r="28" spans="1:16" x14ac:dyDescent="0.35">
      <c r="A28">
        <v>136</v>
      </c>
      <c r="B28" t="s">
        <v>131</v>
      </c>
      <c r="C28" t="s">
        <v>29</v>
      </c>
      <c r="D28" t="s">
        <v>68</v>
      </c>
      <c r="E28" t="s">
        <v>23</v>
      </c>
      <c r="F28">
        <v>30</v>
      </c>
      <c r="G28" s="1">
        <v>43549</v>
      </c>
      <c r="H28" s="1"/>
      <c r="I28">
        <v>14741</v>
      </c>
      <c r="J28">
        <v>4.46</v>
      </c>
      <c r="K28">
        <v>5</v>
      </c>
      <c r="L28">
        <v>5</v>
      </c>
      <c r="M28">
        <v>7</v>
      </c>
      <c r="N28">
        <v>46</v>
      </c>
      <c r="O28">
        <v>3</v>
      </c>
      <c r="P28">
        <v>1295</v>
      </c>
    </row>
    <row r="29" spans="1:16" x14ac:dyDescent="0.35">
      <c r="A29">
        <v>137</v>
      </c>
      <c r="B29" t="s">
        <v>132</v>
      </c>
      <c r="C29" t="s">
        <v>36</v>
      </c>
      <c r="D29" t="s">
        <v>37</v>
      </c>
      <c r="E29" t="s">
        <v>19</v>
      </c>
      <c r="F29">
        <v>23</v>
      </c>
      <c r="G29" s="1">
        <v>43799</v>
      </c>
      <c r="H29" s="1"/>
      <c r="I29">
        <v>13380</v>
      </c>
      <c r="J29">
        <v>4.87</v>
      </c>
      <c r="K29">
        <v>1</v>
      </c>
      <c r="L29">
        <v>2</v>
      </c>
      <c r="M29">
        <v>0</v>
      </c>
      <c r="N29">
        <v>28</v>
      </c>
      <c r="O29">
        <v>20</v>
      </c>
      <c r="P29">
        <v>957</v>
      </c>
    </row>
    <row r="30" spans="1:16" x14ac:dyDescent="0.35">
      <c r="A30">
        <v>138</v>
      </c>
      <c r="B30" t="s">
        <v>133</v>
      </c>
      <c r="C30" t="s">
        <v>25</v>
      </c>
      <c r="D30" t="s">
        <v>44</v>
      </c>
      <c r="E30" t="s">
        <v>23</v>
      </c>
      <c r="F30">
        <v>49</v>
      </c>
      <c r="G30" s="1">
        <v>44792</v>
      </c>
      <c r="H30" s="1"/>
      <c r="I30">
        <v>5020</v>
      </c>
      <c r="J30">
        <v>4.26</v>
      </c>
      <c r="K30">
        <v>5</v>
      </c>
      <c r="L30">
        <v>2</v>
      </c>
      <c r="M30">
        <v>17</v>
      </c>
      <c r="N30">
        <v>20</v>
      </c>
      <c r="O30">
        <v>30</v>
      </c>
      <c r="P30">
        <v>1176</v>
      </c>
    </row>
    <row r="31" spans="1:16" x14ac:dyDescent="0.35">
      <c r="A31">
        <v>139</v>
      </c>
      <c r="B31" t="s">
        <v>125</v>
      </c>
      <c r="C31" t="s">
        <v>36</v>
      </c>
      <c r="D31" t="s">
        <v>50</v>
      </c>
      <c r="E31" t="s">
        <v>23</v>
      </c>
      <c r="F31">
        <v>43</v>
      </c>
      <c r="G31" s="1">
        <v>44386</v>
      </c>
      <c r="H31" s="1"/>
      <c r="I31">
        <v>14539</v>
      </c>
      <c r="J31">
        <v>4.51</v>
      </c>
      <c r="K31">
        <v>3</v>
      </c>
      <c r="L31">
        <v>5</v>
      </c>
      <c r="M31">
        <v>15</v>
      </c>
      <c r="N31">
        <v>12</v>
      </c>
      <c r="O31">
        <v>15</v>
      </c>
      <c r="P31">
        <v>671</v>
      </c>
    </row>
    <row r="32" spans="1:16" x14ac:dyDescent="0.35">
      <c r="A32">
        <v>140</v>
      </c>
      <c r="B32" t="s">
        <v>134</v>
      </c>
      <c r="C32" t="s">
        <v>21</v>
      </c>
      <c r="D32" t="s">
        <v>63</v>
      </c>
      <c r="E32" t="s">
        <v>23</v>
      </c>
      <c r="F32">
        <v>37</v>
      </c>
      <c r="G32" s="1">
        <v>44323</v>
      </c>
      <c r="H32" s="1">
        <v>44962</v>
      </c>
      <c r="I32">
        <v>9714</v>
      </c>
      <c r="J32">
        <v>3.9</v>
      </c>
      <c r="K32">
        <v>3</v>
      </c>
      <c r="L32">
        <v>3</v>
      </c>
      <c r="M32">
        <v>3</v>
      </c>
      <c r="N32">
        <v>36</v>
      </c>
      <c r="O32">
        <v>34</v>
      </c>
      <c r="P32">
        <v>877</v>
      </c>
    </row>
    <row r="33" spans="1:16" x14ac:dyDescent="0.35">
      <c r="A33">
        <v>141</v>
      </c>
      <c r="B33" t="s">
        <v>135</v>
      </c>
      <c r="C33" t="s">
        <v>36</v>
      </c>
      <c r="D33" t="s">
        <v>37</v>
      </c>
      <c r="E33" t="s">
        <v>23</v>
      </c>
      <c r="F33">
        <v>44</v>
      </c>
      <c r="G33" s="1">
        <v>44514</v>
      </c>
      <c r="H33" s="1"/>
      <c r="I33">
        <v>5294</v>
      </c>
      <c r="J33">
        <v>3.37</v>
      </c>
      <c r="K33">
        <v>4</v>
      </c>
      <c r="L33">
        <v>3</v>
      </c>
      <c r="M33">
        <v>15</v>
      </c>
      <c r="N33">
        <v>13</v>
      </c>
      <c r="O33">
        <v>12</v>
      </c>
      <c r="P33">
        <v>1795</v>
      </c>
    </row>
    <row r="34" spans="1:16" x14ac:dyDescent="0.35">
      <c r="A34">
        <v>142</v>
      </c>
      <c r="B34" t="s">
        <v>136</v>
      </c>
      <c r="C34" t="s">
        <v>21</v>
      </c>
      <c r="D34" t="s">
        <v>22</v>
      </c>
      <c r="E34" t="s">
        <v>19</v>
      </c>
      <c r="F34">
        <v>29</v>
      </c>
      <c r="G34" s="1">
        <v>44211</v>
      </c>
      <c r="H34" s="1"/>
      <c r="I34">
        <v>4831</v>
      </c>
      <c r="J34">
        <v>4.17</v>
      </c>
      <c r="K34">
        <v>5</v>
      </c>
      <c r="L34">
        <v>2</v>
      </c>
      <c r="M34">
        <v>20</v>
      </c>
      <c r="N34">
        <v>14</v>
      </c>
      <c r="O34">
        <v>3</v>
      </c>
      <c r="P34">
        <v>305</v>
      </c>
    </row>
    <row r="35" spans="1:16" x14ac:dyDescent="0.35">
      <c r="A35">
        <v>143</v>
      </c>
      <c r="B35" t="s">
        <v>82</v>
      </c>
      <c r="C35" t="s">
        <v>36</v>
      </c>
      <c r="D35" t="s">
        <v>37</v>
      </c>
      <c r="E35" t="s">
        <v>19</v>
      </c>
      <c r="F35">
        <v>35</v>
      </c>
      <c r="G35" s="1">
        <v>44453</v>
      </c>
      <c r="H35" s="1"/>
      <c r="I35">
        <v>14696</v>
      </c>
      <c r="J35">
        <v>4.84</v>
      </c>
      <c r="K35">
        <v>4</v>
      </c>
      <c r="L35">
        <v>4</v>
      </c>
      <c r="M35">
        <v>20</v>
      </c>
      <c r="N35">
        <v>12</v>
      </c>
      <c r="O35">
        <v>18</v>
      </c>
      <c r="P35">
        <v>757</v>
      </c>
    </row>
    <row r="36" spans="1:16" x14ac:dyDescent="0.35">
      <c r="A36">
        <v>144</v>
      </c>
      <c r="B36" t="s">
        <v>137</v>
      </c>
      <c r="C36" t="s">
        <v>29</v>
      </c>
      <c r="D36" t="s">
        <v>68</v>
      </c>
      <c r="E36" t="s">
        <v>19</v>
      </c>
      <c r="F36">
        <v>27</v>
      </c>
      <c r="G36" s="1">
        <v>43343</v>
      </c>
      <c r="H36" s="1"/>
      <c r="I36">
        <v>10846</v>
      </c>
      <c r="J36">
        <v>4.71</v>
      </c>
      <c r="K36">
        <v>2</v>
      </c>
      <c r="L36">
        <v>1</v>
      </c>
      <c r="M36">
        <v>12</v>
      </c>
      <c r="N36">
        <v>50</v>
      </c>
      <c r="O36">
        <v>31</v>
      </c>
      <c r="P36">
        <v>481</v>
      </c>
    </row>
    <row r="37" spans="1:16" x14ac:dyDescent="0.35">
      <c r="A37">
        <v>145</v>
      </c>
      <c r="B37" t="s">
        <v>93</v>
      </c>
      <c r="C37" t="s">
        <v>17</v>
      </c>
      <c r="D37" t="s">
        <v>18</v>
      </c>
      <c r="E37" t="s">
        <v>23</v>
      </c>
      <c r="F37">
        <v>31</v>
      </c>
      <c r="G37" s="1">
        <v>44286</v>
      </c>
      <c r="H37" s="1"/>
      <c r="I37">
        <v>11444</v>
      </c>
      <c r="J37">
        <v>4.97</v>
      </c>
      <c r="K37">
        <v>5</v>
      </c>
      <c r="L37">
        <v>5</v>
      </c>
      <c r="M37">
        <v>15</v>
      </c>
      <c r="N37">
        <v>56</v>
      </c>
      <c r="O37">
        <v>8</v>
      </c>
      <c r="P37">
        <v>1842</v>
      </c>
    </row>
    <row r="38" spans="1:16" x14ac:dyDescent="0.35">
      <c r="A38">
        <v>146</v>
      </c>
      <c r="B38" t="s">
        <v>24</v>
      </c>
      <c r="C38" t="s">
        <v>21</v>
      </c>
      <c r="D38" t="s">
        <v>22</v>
      </c>
      <c r="E38" t="s">
        <v>23</v>
      </c>
      <c r="F38">
        <v>42</v>
      </c>
      <c r="G38" s="1">
        <v>45018</v>
      </c>
      <c r="H38" s="1"/>
      <c r="I38">
        <v>8215</v>
      </c>
      <c r="J38">
        <v>4.3</v>
      </c>
      <c r="K38">
        <v>1</v>
      </c>
      <c r="L38">
        <v>3</v>
      </c>
      <c r="M38">
        <v>9</v>
      </c>
      <c r="N38">
        <v>36</v>
      </c>
      <c r="O38">
        <v>12</v>
      </c>
      <c r="P38">
        <v>459</v>
      </c>
    </row>
    <row r="39" spans="1:16" x14ac:dyDescent="0.35">
      <c r="A39">
        <v>147</v>
      </c>
      <c r="B39" t="s">
        <v>138</v>
      </c>
      <c r="C39" t="s">
        <v>21</v>
      </c>
      <c r="D39" t="s">
        <v>22</v>
      </c>
      <c r="E39" t="s">
        <v>23</v>
      </c>
      <c r="F39">
        <v>43</v>
      </c>
      <c r="G39" s="1">
        <v>44761</v>
      </c>
      <c r="H39" s="1"/>
      <c r="I39">
        <v>5562</v>
      </c>
      <c r="J39">
        <v>2.96</v>
      </c>
      <c r="K39">
        <v>2</v>
      </c>
      <c r="L39">
        <v>4</v>
      </c>
      <c r="M39">
        <v>10</v>
      </c>
      <c r="N39">
        <v>59</v>
      </c>
      <c r="O39">
        <v>15</v>
      </c>
      <c r="P39">
        <v>113</v>
      </c>
    </row>
    <row r="40" spans="1:16" x14ac:dyDescent="0.35">
      <c r="A40">
        <v>148</v>
      </c>
      <c r="B40" t="s">
        <v>122</v>
      </c>
      <c r="C40" t="s">
        <v>29</v>
      </c>
      <c r="D40" t="s">
        <v>68</v>
      </c>
      <c r="E40" t="s">
        <v>23</v>
      </c>
      <c r="F40">
        <v>42</v>
      </c>
      <c r="G40" s="1">
        <v>44672</v>
      </c>
      <c r="H40" s="1">
        <v>45248</v>
      </c>
      <c r="I40">
        <v>9890</v>
      </c>
      <c r="J40">
        <v>4.2300000000000004</v>
      </c>
      <c r="K40">
        <v>1</v>
      </c>
      <c r="L40">
        <v>1</v>
      </c>
      <c r="M40">
        <v>14</v>
      </c>
      <c r="N40">
        <v>19</v>
      </c>
      <c r="O40">
        <v>10</v>
      </c>
      <c r="P40">
        <v>930</v>
      </c>
    </row>
    <row r="41" spans="1:16" x14ac:dyDescent="0.35">
      <c r="A41">
        <v>149</v>
      </c>
      <c r="B41" t="s">
        <v>139</v>
      </c>
      <c r="C41" t="s">
        <v>17</v>
      </c>
      <c r="D41" t="s">
        <v>71</v>
      </c>
      <c r="E41" t="s">
        <v>23</v>
      </c>
      <c r="F41">
        <v>41</v>
      </c>
      <c r="G41" s="1">
        <v>45159</v>
      </c>
      <c r="H41" s="1"/>
      <c r="I41">
        <v>7618</v>
      </c>
      <c r="J41">
        <v>3.05</v>
      </c>
      <c r="K41">
        <v>2</v>
      </c>
      <c r="L41">
        <v>4</v>
      </c>
      <c r="M41">
        <v>4</v>
      </c>
      <c r="N41">
        <v>29</v>
      </c>
      <c r="O41">
        <v>38</v>
      </c>
      <c r="P41">
        <v>865</v>
      </c>
    </row>
    <row r="42" spans="1:16" x14ac:dyDescent="0.35">
      <c r="A42">
        <v>150</v>
      </c>
      <c r="B42" t="s">
        <v>140</v>
      </c>
      <c r="C42" t="s">
        <v>36</v>
      </c>
      <c r="D42" t="s">
        <v>37</v>
      </c>
      <c r="E42" t="s">
        <v>19</v>
      </c>
      <c r="F42">
        <v>38</v>
      </c>
      <c r="G42" s="1">
        <v>45350</v>
      </c>
      <c r="H42" s="1"/>
      <c r="I42">
        <v>11319</v>
      </c>
      <c r="J42">
        <v>3.82</v>
      </c>
      <c r="K42">
        <v>3</v>
      </c>
      <c r="L42">
        <v>1</v>
      </c>
      <c r="M42">
        <v>18</v>
      </c>
      <c r="N42">
        <v>7</v>
      </c>
      <c r="O42">
        <v>3</v>
      </c>
      <c r="P42">
        <v>1797</v>
      </c>
    </row>
    <row r="43" spans="1:16" x14ac:dyDescent="0.35">
      <c r="A43">
        <v>151</v>
      </c>
      <c r="B43" t="s">
        <v>141</v>
      </c>
      <c r="C43" t="s">
        <v>21</v>
      </c>
      <c r="D43" t="s">
        <v>63</v>
      </c>
      <c r="E43" t="s">
        <v>23</v>
      </c>
      <c r="F43">
        <v>25</v>
      </c>
      <c r="G43" s="1">
        <v>45171</v>
      </c>
      <c r="H43" s="1"/>
      <c r="I43">
        <v>7365</v>
      </c>
      <c r="J43">
        <v>4.29</v>
      </c>
      <c r="K43">
        <v>4</v>
      </c>
      <c r="L43">
        <v>1</v>
      </c>
      <c r="M43">
        <v>16</v>
      </c>
      <c r="N43">
        <v>28</v>
      </c>
      <c r="O43">
        <v>3</v>
      </c>
      <c r="P43">
        <v>1028</v>
      </c>
    </row>
    <row r="44" spans="1:16" x14ac:dyDescent="0.35">
      <c r="A44">
        <v>152</v>
      </c>
      <c r="B44" t="s">
        <v>142</v>
      </c>
      <c r="C44" t="s">
        <v>25</v>
      </c>
      <c r="D44" t="s">
        <v>44</v>
      </c>
      <c r="E44" t="s">
        <v>23</v>
      </c>
      <c r="F44">
        <v>43</v>
      </c>
      <c r="G44" s="1">
        <v>45203</v>
      </c>
      <c r="H44" s="1"/>
      <c r="I44">
        <v>9049</v>
      </c>
      <c r="J44">
        <v>4.3099999999999996</v>
      </c>
      <c r="K44">
        <v>4</v>
      </c>
      <c r="L44">
        <v>3</v>
      </c>
      <c r="M44">
        <v>0</v>
      </c>
      <c r="N44">
        <v>47</v>
      </c>
      <c r="O44">
        <v>13</v>
      </c>
      <c r="P44">
        <v>1284</v>
      </c>
    </row>
    <row r="45" spans="1:16" x14ac:dyDescent="0.35">
      <c r="A45">
        <v>153</v>
      </c>
      <c r="B45" t="s">
        <v>128</v>
      </c>
      <c r="C45" t="s">
        <v>39</v>
      </c>
      <c r="D45" t="s">
        <v>40</v>
      </c>
      <c r="E45" t="s">
        <v>19</v>
      </c>
      <c r="F45">
        <v>37</v>
      </c>
      <c r="G45" s="1">
        <v>43286</v>
      </c>
      <c r="H45" s="1"/>
      <c r="I45">
        <v>4519</v>
      </c>
      <c r="J45">
        <v>3.22</v>
      </c>
      <c r="K45">
        <v>2</v>
      </c>
      <c r="L45">
        <v>2</v>
      </c>
      <c r="M45">
        <v>20</v>
      </c>
      <c r="N45">
        <v>46</v>
      </c>
      <c r="O45">
        <v>26</v>
      </c>
      <c r="P45">
        <v>866</v>
      </c>
    </row>
    <row r="46" spans="1:16" x14ac:dyDescent="0.35">
      <c r="A46">
        <v>154</v>
      </c>
      <c r="B46" t="s">
        <v>107</v>
      </c>
      <c r="C46" t="s">
        <v>36</v>
      </c>
      <c r="D46" t="s">
        <v>37</v>
      </c>
      <c r="E46" t="s">
        <v>19</v>
      </c>
      <c r="F46">
        <v>42</v>
      </c>
      <c r="G46" s="1">
        <v>44938</v>
      </c>
      <c r="H46" s="1"/>
      <c r="I46">
        <v>9697</v>
      </c>
      <c r="J46">
        <v>2.8</v>
      </c>
      <c r="K46">
        <v>5</v>
      </c>
      <c r="L46">
        <v>4</v>
      </c>
      <c r="M46">
        <v>16</v>
      </c>
      <c r="N46">
        <v>8</v>
      </c>
      <c r="O46">
        <v>14</v>
      </c>
      <c r="P46">
        <v>1809</v>
      </c>
    </row>
    <row r="47" spans="1:16" x14ac:dyDescent="0.35">
      <c r="A47">
        <v>155</v>
      </c>
      <c r="B47" t="s">
        <v>125</v>
      </c>
      <c r="C47" t="s">
        <v>39</v>
      </c>
      <c r="D47" t="s">
        <v>61</v>
      </c>
      <c r="E47" t="s">
        <v>23</v>
      </c>
      <c r="F47">
        <v>48</v>
      </c>
      <c r="G47" s="1">
        <v>43194</v>
      </c>
      <c r="H47" s="1"/>
      <c r="I47">
        <v>7762</v>
      </c>
      <c r="J47">
        <v>3.12</v>
      </c>
      <c r="K47">
        <v>3</v>
      </c>
      <c r="L47">
        <v>2</v>
      </c>
      <c r="M47">
        <v>8</v>
      </c>
      <c r="N47">
        <v>12</v>
      </c>
      <c r="O47">
        <v>7</v>
      </c>
      <c r="P47">
        <v>165</v>
      </c>
    </row>
    <row r="48" spans="1:16" x14ac:dyDescent="0.35">
      <c r="A48">
        <v>156</v>
      </c>
      <c r="B48" t="s">
        <v>143</v>
      </c>
      <c r="C48" t="s">
        <v>17</v>
      </c>
      <c r="D48" t="s">
        <v>18</v>
      </c>
      <c r="E48" t="s">
        <v>19</v>
      </c>
      <c r="F48">
        <v>25</v>
      </c>
      <c r="G48" s="1">
        <v>44818</v>
      </c>
      <c r="H48" s="1"/>
      <c r="I48">
        <v>13731</v>
      </c>
      <c r="J48">
        <v>2.58</v>
      </c>
      <c r="K48">
        <v>5</v>
      </c>
      <c r="L48">
        <v>1</v>
      </c>
      <c r="M48">
        <v>7</v>
      </c>
      <c r="N48">
        <v>47</v>
      </c>
      <c r="O48">
        <v>2</v>
      </c>
      <c r="P48">
        <v>923</v>
      </c>
    </row>
    <row r="49" spans="1:16" x14ac:dyDescent="0.35">
      <c r="A49">
        <v>157</v>
      </c>
      <c r="B49" t="s">
        <v>144</v>
      </c>
      <c r="C49" t="s">
        <v>36</v>
      </c>
      <c r="D49" t="s">
        <v>50</v>
      </c>
      <c r="E49" t="s">
        <v>19</v>
      </c>
      <c r="F49">
        <v>48</v>
      </c>
      <c r="G49" s="1">
        <v>44060</v>
      </c>
      <c r="H49" s="1"/>
      <c r="I49">
        <v>13438</v>
      </c>
      <c r="J49">
        <v>3.3</v>
      </c>
      <c r="K49">
        <v>5</v>
      </c>
      <c r="L49">
        <v>3</v>
      </c>
      <c r="M49">
        <v>7</v>
      </c>
      <c r="N49">
        <v>19</v>
      </c>
      <c r="O49">
        <v>9</v>
      </c>
      <c r="P49">
        <v>1452</v>
      </c>
    </row>
    <row r="50" spans="1:16" x14ac:dyDescent="0.35">
      <c r="A50">
        <v>158</v>
      </c>
      <c r="B50" t="s">
        <v>145</v>
      </c>
      <c r="C50" t="s">
        <v>21</v>
      </c>
      <c r="D50" t="s">
        <v>22</v>
      </c>
      <c r="E50" t="s">
        <v>23</v>
      </c>
      <c r="F50">
        <v>39</v>
      </c>
      <c r="G50" s="1">
        <v>44006</v>
      </c>
      <c r="H50" s="1"/>
      <c r="I50">
        <v>12120</v>
      </c>
      <c r="J50">
        <v>2.62</v>
      </c>
      <c r="K50">
        <v>3</v>
      </c>
      <c r="L50">
        <v>4</v>
      </c>
      <c r="M50">
        <v>16</v>
      </c>
      <c r="N50">
        <v>20</v>
      </c>
      <c r="O50">
        <v>26</v>
      </c>
      <c r="P50">
        <v>936</v>
      </c>
    </row>
    <row r="51" spans="1:16" x14ac:dyDescent="0.35">
      <c r="A51">
        <v>159</v>
      </c>
      <c r="B51" t="s">
        <v>64</v>
      </c>
      <c r="C51" t="s">
        <v>25</v>
      </c>
      <c r="D51" t="s">
        <v>32</v>
      </c>
      <c r="E51" t="s">
        <v>19</v>
      </c>
      <c r="F51">
        <v>31</v>
      </c>
      <c r="G51" s="1">
        <v>44329</v>
      </c>
      <c r="H51" s="1"/>
      <c r="I51">
        <v>6365</v>
      </c>
      <c r="J51">
        <v>4.51</v>
      </c>
      <c r="K51">
        <v>1</v>
      </c>
      <c r="L51">
        <v>5</v>
      </c>
      <c r="M51">
        <v>13</v>
      </c>
      <c r="N51">
        <v>26</v>
      </c>
      <c r="O51">
        <v>35</v>
      </c>
      <c r="P51">
        <v>1185</v>
      </c>
    </row>
    <row r="52" spans="1:16" x14ac:dyDescent="0.35">
      <c r="A52">
        <v>160</v>
      </c>
      <c r="B52" t="s">
        <v>58</v>
      </c>
      <c r="C52" t="s">
        <v>25</v>
      </c>
      <c r="D52" t="s">
        <v>26</v>
      </c>
      <c r="E52" t="s">
        <v>23</v>
      </c>
      <c r="F52">
        <v>24</v>
      </c>
      <c r="G52" s="1">
        <v>44691</v>
      </c>
      <c r="H52" s="1">
        <v>45137</v>
      </c>
      <c r="I52">
        <v>12775</v>
      </c>
      <c r="J52">
        <v>4.3099999999999996</v>
      </c>
      <c r="K52">
        <v>2</v>
      </c>
      <c r="L52">
        <v>1</v>
      </c>
      <c r="M52">
        <v>8</v>
      </c>
      <c r="N52">
        <v>24</v>
      </c>
      <c r="O52">
        <v>38</v>
      </c>
      <c r="P52">
        <v>1334</v>
      </c>
    </row>
    <row r="53" spans="1:16" x14ac:dyDescent="0.35">
      <c r="A53">
        <v>161</v>
      </c>
      <c r="B53" t="s">
        <v>140</v>
      </c>
      <c r="C53" t="s">
        <v>39</v>
      </c>
      <c r="D53" t="s">
        <v>61</v>
      </c>
      <c r="E53" t="s">
        <v>19</v>
      </c>
      <c r="F53">
        <v>49</v>
      </c>
      <c r="G53" s="1">
        <v>43399</v>
      </c>
      <c r="H53" s="1">
        <v>44632</v>
      </c>
      <c r="I53">
        <v>9455</v>
      </c>
      <c r="J53">
        <v>3.26</v>
      </c>
      <c r="K53">
        <v>1</v>
      </c>
      <c r="L53">
        <v>2</v>
      </c>
      <c r="M53">
        <v>6</v>
      </c>
      <c r="N53">
        <v>47</v>
      </c>
      <c r="O53">
        <v>7</v>
      </c>
      <c r="P53">
        <v>1629</v>
      </c>
    </row>
    <row r="54" spans="1:16" x14ac:dyDescent="0.35">
      <c r="A54">
        <v>162</v>
      </c>
      <c r="B54" t="s">
        <v>75</v>
      </c>
      <c r="C54" t="s">
        <v>36</v>
      </c>
      <c r="D54" t="s">
        <v>37</v>
      </c>
      <c r="E54" t="s">
        <v>23</v>
      </c>
      <c r="F54">
        <v>46</v>
      </c>
      <c r="G54" s="1">
        <v>44094</v>
      </c>
      <c r="H54" s="1"/>
      <c r="I54">
        <v>8637</v>
      </c>
      <c r="J54">
        <v>3.45</v>
      </c>
      <c r="K54">
        <v>5</v>
      </c>
      <c r="L54">
        <v>3</v>
      </c>
      <c r="M54">
        <v>9</v>
      </c>
      <c r="N54">
        <v>16</v>
      </c>
      <c r="O54">
        <v>23</v>
      </c>
      <c r="P54">
        <v>1150</v>
      </c>
    </row>
    <row r="55" spans="1:16" x14ac:dyDescent="0.35">
      <c r="A55">
        <v>163</v>
      </c>
      <c r="B55" t="s">
        <v>146</v>
      </c>
      <c r="C55" t="s">
        <v>36</v>
      </c>
      <c r="D55" t="s">
        <v>50</v>
      </c>
      <c r="E55" t="s">
        <v>23</v>
      </c>
      <c r="F55">
        <v>35</v>
      </c>
      <c r="G55" s="1">
        <v>45009</v>
      </c>
      <c r="H55" s="1"/>
      <c r="I55">
        <v>4749</v>
      </c>
      <c r="J55">
        <v>3.91</v>
      </c>
      <c r="K55">
        <v>2</v>
      </c>
      <c r="L55">
        <v>2</v>
      </c>
      <c r="M55">
        <v>0</v>
      </c>
      <c r="N55">
        <v>16</v>
      </c>
      <c r="O55">
        <v>35</v>
      </c>
      <c r="P55">
        <v>1296</v>
      </c>
    </row>
    <row r="56" spans="1:16" x14ac:dyDescent="0.35">
      <c r="A56">
        <v>164</v>
      </c>
      <c r="B56" t="s">
        <v>74</v>
      </c>
      <c r="C56" t="s">
        <v>21</v>
      </c>
      <c r="D56" t="s">
        <v>22</v>
      </c>
      <c r="E56" t="s">
        <v>23</v>
      </c>
      <c r="F56">
        <v>40</v>
      </c>
      <c r="G56" s="1">
        <v>44811</v>
      </c>
      <c r="H56" s="1"/>
      <c r="I56">
        <v>8026</v>
      </c>
      <c r="J56">
        <v>3.75</v>
      </c>
      <c r="K56">
        <v>3</v>
      </c>
      <c r="L56">
        <v>3</v>
      </c>
      <c r="M56">
        <v>15</v>
      </c>
      <c r="N56">
        <v>46</v>
      </c>
      <c r="O56">
        <v>31</v>
      </c>
      <c r="P56">
        <v>1043</v>
      </c>
    </row>
    <row r="57" spans="1:16" x14ac:dyDescent="0.35">
      <c r="A57">
        <v>165</v>
      </c>
      <c r="B57" t="s">
        <v>95</v>
      </c>
      <c r="C57" t="s">
        <v>25</v>
      </c>
      <c r="D57" t="s">
        <v>44</v>
      </c>
      <c r="E57" t="s">
        <v>19</v>
      </c>
      <c r="F57">
        <v>38</v>
      </c>
      <c r="G57" s="1">
        <v>44543</v>
      </c>
      <c r="H57" s="1"/>
      <c r="I57">
        <v>4554</v>
      </c>
      <c r="J57">
        <v>4.5999999999999996</v>
      </c>
      <c r="K57">
        <v>1</v>
      </c>
      <c r="L57">
        <v>1</v>
      </c>
      <c r="M57">
        <v>0</v>
      </c>
      <c r="N57">
        <v>26</v>
      </c>
      <c r="O57">
        <v>8</v>
      </c>
      <c r="P57">
        <v>1825</v>
      </c>
    </row>
    <row r="58" spans="1:16" x14ac:dyDescent="0.35">
      <c r="A58">
        <v>166</v>
      </c>
      <c r="B58" t="s">
        <v>143</v>
      </c>
      <c r="C58" t="s">
        <v>17</v>
      </c>
      <c r="D58" t="s">
        <v>71</v>
      </c>
      <c r="E58" t="s">
        <v>23</v>
      </c>
      <c r="F58">
        <v>23</v>
      </c>
      <c r="G58" s="1">
        <v>44048</v>
      </c>
      <c r="H58" s="1">
        <v>44387</v>
      </c>
      <c r="I58">
        <v>14122</v>
      </c>
      <c r="J58">
        <v>4.09</v>
      </c>
      <c r="K58">
        <v>5</v>
      </c>
      <c r="L58">
        <v>4</v>
      </c>
      <c r="M58">
        <v>15</v>
      </c>
      <c r="N58">
        <v>1</v>
      </c>
      <c r="O58">
        <v>0</v>
      </c>
      <c r="P58">
        <v>1189</v>
      </c>
    </row>
    <row r="59" spans="1:16" x14ac:dyDescent="0.35">
      <c r="A59">
        <v>167</v>
      </c>
      <c r="B59" t="s">
        <v>31</v>
      </c>
      <c r="C59" t="s">
        <v>21</v>
      </c>
      <c r="D59" t="s">
        <v>63</v>
      </c>
      <c r="E59" t="s">
        <v>19</v>
      </c>
      <c r="F59">
        <v>38</v>
      </c>
      <c r="G59" s="1">
        <v>44785</v>
      </c>
      <c r="H59" s="1"/>
      <c r="I59">
        <v>11054</v>
      </c>
      <c r="J59">
        <v>4.5199999999999996</v>
      </c>
      <c r="K59">
        <v>2</v>
      </c>
      <c r="L59">
        <v>1</v>
      </c>
      <c r="M59">
        <v>3</v>
      </c>
      <c r="N59">
        <v>33</v>
      </c>
      <c r="O59">
        <v>9</v>
      </c>
      <c r="P59">
        <v>593</v>
      </c>
    </row>
    <row r="60" spans="1:16" x14ac:dyDescent="0.35">
      <c r="A60">
        <v>168</v>
      </c>
      <c r="B60" t="s">
        <v>147</v>
      </c>
      <c r="C60" t="s">
        <v>25</v>
      </c>
      <c r="D60" t="s">
        <v>26</v>
      </c>
      <c r="E60" t="s">
        <v>19</v>
      </c>
      <c r="F60">
        <v>33</v>
      </c>
      <c r="G60" s="1">
        <v>45639</v>
      </c>
      <c r="H60" s="1"/>
      <c r="I60">
        <v>10652</v>
      </c>
      <c r="J60">
        <v>3.65</v>
      </c>
      <c r="K60">
        <v>2</v>
      </c>
      <c r="L60">
        <v>2</v>
      </c>
      <c r="M60">
        <v>9</v>
      </c>
      <c r="N60">
        <v>43</v>
      </c>
      <c r="O60">
        <v>5</v>
      </c>
      <c r="P60">
        <v>1438</v>
      </c>
    </row>
    <row r="61" spans="1:16" x14ac:dyDescent="0.35">
      <c r="A61">
        <v>169</v>
      </c>
      <c r="B61" t="s">
        <v>148</v>
      </c>
      <c r="C61" t="s">
        <v>17</v>
      </c>
      <c r="D61" t="s">
        <v>71</v>
      </c>
      <c r="E61" t="s">
        <v>19</v>
      </c>
      <c r="F61">
        <v>42</v>
      </c>
      <c r="G61" s="1">
        <v>43230</v>
      </c>
      <c r="H61" s="1">
        <v>44036</v>
      </c>
      <c r="I61">
        <v>4154</v>
      </c>
      <c r="J61">
        <v>4.26</v>
      </c>
      <c r="K61">
        <v>1</v>
      </c>
      <c r="L61">
        <v>4</v>
      </c>
      <c r="M61">
        <v>13</v>
      </c>
      <c r="N61">
        <v>41</v>
      </c>
      <c r="O61">
        <v>21</v>
      </c>
      <c r="P61">
        <v>1258</v>
      </c>
    </row>
    <row r="62" spans="1:16" x14ac:dyDescent="0.35">
      <c r="A62">
        <v>170</v>
      </c>
      <c r="B62" t="s">
        <v>16</v>
      </c>
      <c r="C62" t="s">
        <v>39</v>
      </c>
      <c r="D62" t="s">
        <v>61</v>
      </c>
      <c r="E62" t="s">
        <v>23</v>
      </c>
      <c r="F62">
        <v>23</v>
      </c>
      <c r="G62" s="1">
        <v>45264</v>
      </c>
      <c r="H62" s="1"/>
      <c r="I62">
        <v>5218</v>
      </c>
      <c r="J62">
        <v>4.21</v>
      </c>
      <c r="K62">
        <v>3</v>
      </c>
      <c r="L62">
        <v>5</v>
      </c>
      <c r="M62">
        <v>18</v>
      </c>
      <c r="N62">
        <v>42</v>
      </c>
      <c r="O62">
        <v>2</v>
      </c>
      <c r="P62">
        <v>467</v>
      </c>
    </row>
    <row r="63" spans="1:16" x14ac:dyDescent="0.35">
      <c r="A63">
        <v>171</v>
      </c>
      <c r="B63" t="s">
        <v>149</v>
      </c>
      <c r="C63" t="s">
        <v>29</v>
      </c>
      <c r="D63" t="s">
        <v>30</v>
      </c>
      <c r="E63" t="s">
        <v>19</v>
      </c>
      <c r="F63">
        <v>31</v>
      </c>
      <c r="G63" s="1">
        <v>43165</v>
      </c>
      <c r="H63" s="1"/>
      <c r="I63">
        <v>6661</v>
      </c>
      <c r="J63">
        <v>3.91</v>
      </c>
      <c r="K63">
        <v>5</v>
      </c>
      <c r="L63">
        <v>4</v>
      </c>
      <c r="M63">
        <v>17</v>
      </c>
      <c r="N63">
        <v>21</v>
      </c>
      <c r="O63">
        <v>24</v>
      </c>
      <c r="P63">
        <v>1647</v>
      </c>
    </row>
    <row r="64" spans="1:16" x14ac:dyDescent="0.35">
      <c r="A64">
        <v>172</v>
      </c>
      <c r="B64" t="s">
        <v>128</v>
      </c>
      <c r="C64" t="s">
        <v>17</v>
      </c>
      <c r="D64" t="s">
        <v>71</v>
      </c>
      <c r="E64" t="s">
        <v>19</v>
      </c>
      <c r="F64">
        <v>25</v>
      </c>
      <c r="G64" s="1">
        <v>43674</v>
      </c>
      <c r="H64" s="1"/>
      <c r="I64">
        <v>11161</v>
      </c>
      <c r="J64">
        <v>3.08</v>
      </c>
      <c r="K64">
        <v>1</v>
      </c>
      <c r="L64">
        <v>3</v>
      </c>
      <c r="M64">
        <v>19</v>
      </c>
      <c r="N64">
        <v>49</v>
      </c>
      <c r="O64">
        <v>39</v>
      </c>
      <c r="P64">
        <v>1319</v>
      </c>
    </row>
    <row r="65" spans="1:16" x14ac:dyDescent="0.35">
      <c r="A65">
        <v>173</v>
      </c>
      <c r="B65" t="s">
        <v>76</v>
      </c>
      <c r="C65" t="s">
        <v>36</v>
      </c>
      <c r="D65" t="s">
        <v>37</v>
      </c>
      <c r="E65" t="s">
        <v>23</v>
      </c>
      <c r="F65">
        <v>39</v>
      </c>
      <c r="G65" s="1">
        <v>44437</v>
      </c>
      <c r="H65" s="1">
        <v>45026</v>
      </c>
      <c r="I65">
        <v>10150</v>
      </c>
      <c r="J65">
        <v>3.58</v>
      </c>
      <c r="K65">
        <v>5</v>
      </c>
      <c r="L65">
        <v>4</v>
      </c>
      <c r="M65">
        <v>2</v>
      </c>
      <c r="N65">
        <v>49</v>
      </c>
      <c r="O65">
        <v>39</v>
      </c>
      <c r="P65">
        <v>704</v>
      </c>
    </row>
    <row r="66" spans="1:16" x14ac:dyDescent="0.35">
      <c r="A66">
        <v>174</v>
      </c>
      <c r="B66" t="s">
        <v>78</v>
      </c>
      <c r="C66" t="s">
        <v>25</v>
      </c>
      <c r="D66" t="s">
        <v>44</v>
      </c>
      <c r="E66" t="s">
        <v>23</v>
      </c>
      <c r="F66">
        <v>32</v>
      </c>
      <c r="G66" s="1">
        <v>43402</v>
      </c>
      <c r="H66" s="1">
        <v>43747</v>
      </c>
      <c r="I66">
        <v>9909</v>
      </c>
      <c r="J66">
        <v>2.77</v>
      </c>
      <c r="K66">
        <v>1</v>
      </c>
      <c r="L66">
        <v>3</v>
      </c>
      <c r="M66">
        <v>14</v>
      </c>
      <c r="N66">
        <v>23</v>
      </c>
      <c r="O66">
        <v>17</v>
      </c>
      <c r="P66">
        <v>309</v>
      </c>
    </row>
    <row r="67" spans="1:16" x14ac:dyDescent="0.35">
      <c r="A67">
        <v>175</v>
      </c>
      <c r="B67" t="s">
        <v>150</v>
      </c>
      <c r="C67" t="s">
        <v>25</v>
      </c>
      <c r="D67" t="s">
        <v>44</v>
      </c>
      <c r="E67" t="s">
        <v>23</v>
      </c>
      <c r="F67">
        <v>25</v>
      </c>
      <c r="G67" s="1">
        <v>43458</v>
      </c>
      <c r="H67" s="1">
        <v>44407</v>
      </c>
      <c r="I67">
        <v>4430</v>
      </c>
      <c r="J67">
        <v>2.72</v>
      </c>
      <c r="K67">
        <v>5</v>
      </c>
      <c r="L67">
        <v>1</v>
      </c>
      <c r="M67">
        <v>19</v>
      </c>
      <c r="N67">
        <v>38</v>
      </c>
      <c r="O67">
        <v>20</v>
      </c>
      <c r="P67">
        <v>1868</v>
      </c>
    </row>
    <row r="68" spans="1:16" x14ac:dyDescent="0.35">
      <c r="A68">
        <v>176</v>
      </c>
      <c r="B68" t="s">
        <v>97</v>
      </c>
      <c r="C68" t="s">
        <v>36</v>
      </c>
      <c r="D68" t="s">
        <v>37</v>
      </c>
      <c r="E68" t="s">
        <v>19</v>
      </c>
      <c r="F68">
        <v>43</v>
      </c>
      <c r="G68" s="1">
        <v>43151</v>
      </c>
      <c r="H68" s="1"/>
      <c r="I68">
        <v>10237</v>
      </c>
      <c r="J68">
        <v>2.92</v>
      </c>
      <c r="K68">
        <v>3</v>
      </c>
      <c r="L68">
        <v>3</v>
      </c>
      <c r="M68">
        <v>8</v>
      </c>
      <c r="N68">
        <v>31</v>
      </c>
      <c r="O68">
        <v>9</v>
      </c>
      <c r="P68">
        <v>229</v>
      </c>
    </row>
    <row r="69" spans="1:16" x14ac:dyDescent="0.35">
      <c r="A69">
        <v>177</v>
      </c>
      <c r="B69" t="s">
        <v>123</v>
      </c>
      <c r="C69" t="s">
        <v>25</v>
      </c>
      <c r="D69" t="s">
        <v>32</v>
      </c>
      <c r="E69" t="s">
        <v>23</v>
      </c>
      <c r="F69">
        <v>30</v>
      </c>
      <c r="G69" s="1">
        <v>44881</v>
      </c>
      <c r="H69" s="1"/>
      <c r="I69">
        <v>8040</v>
      </c>
      <c r="J69">
        <v>4.3</v>
      </c>
      <c r="K69">
        <v>4</v>
      </c>
      <c r="L69">
        <v>5</v>
      </c>
      <c r="M69">
        <v>19</v>
      </c>
      <c r="N69">
        <v>12</v>
      </c>
      <c r="O69">
        <v>29</v>
      </c>
      <c r="P69">
        <v>319</v>
      </c>
    </row>
    <row r="70" spans="1:16" x14ac:dyDescent="0.35">
      <c r="A70">
        <v>178</v>
      </c>
      <c r="B70" t="s">
        <v>110</v>
      </c>
      <c r="C70" t="s">
        <v>25</v>
      </c>
      <c r="D70" t="s">
        <v>26</v>
      </c>
      <c r="E70" t="s">
        <v>23</v>
      </c>
      <c r="F70">
        <v>36</v>
      </c>
      <c r="G70" s="1">
        <v>44348</v>
      </c>
      <c r="H70" s="1">
        <v>45188</v>
      </c>
      <c r="I70">
        <v>9484</v>
      </c>
      <c r="J70">
        <v>3.58</v>
      </c>
      <c r="K70">
        <v>5</v>
      </c>
      <c r="L70">
        <v>2</v>
      </c>
      <c r="M70">
        <v>9</v>
      </c>
      <c r="N70">
        <v>20</v>
      </c>
      <c r="O70">
        <v>38</v>
      </c>
      <c r="P70">
        <v>1523</v>
      </c>
    </row>
    <row r="71" spans="1:16" x14ac:dyDescent="0.35">
      <c r="A71">
        <v>179</v>
      </c>
      <c r="B71" t="s">
        <v>151</v>
      </c>
      <c r="C71" t="s">
        <v>25</v>
      </c>
      <c r="D71" t="s">
        <v>26</v>
      </c>
      <c r="E71" t="s">
        <v>23</v>
      </c>
      <c r="F71">
        <v>40</v>
      </c>
      <c r="G71" s="1">
        <v>45063</v>
      </c>
      <c r="H71" s="1"/>
      <c r="I71">
        <v>7971</v>
      </c>
      <c r="J71">
        <v>3.31</v>
      </c>
      <c r="K71">
        <v>3</v>
      </c>
      <c r="L71">
        <v>4</v>
      </c>
      <c r="M71">
        <v>11</v>
      </c>
      <c r="N71">
        <v>7</v>
      </c>
      <c r="O71">
        <v>36</v>
      </c>
      <c r="P71">
        <v>509</v>
      </c>
    </row>
    <row r="72" spans="1:16" x14ac:dyDescent="0.35">
      <c r="A72">
        <v>180</v>
      </c>
      <c r="B72" t="s">
        <v>152</v>
      </c>
      <c r="C72" t="s">
        <v>21</v>
      </c>
      <c r="D72" t="s">
        <v>22</v>
      </c>
      <c r="E72" t="s">
        <v>23</v>
      </c>
      <c r="F72">
        <v>47</v>
      </c>
      <c r="G72" s="1">
        <v>45335</v>
      </c>
      <c r="H72" s="1"/>
      <c r="I72">
        <v>8773</v>
      </c>
      <c r="J72">
        <v>4.58</v>
      </c>
      <c r="K72">
        <v>1</v>
      </c>
      <c r="L72">
        <v>4</v>
      </c>
      <c r="M72">
        <v>15</v>
      </c>
      <c r="N72">
        <v>8</v>
      </c>
      <c r="O72">
        <v>40</v>
      </c>
      <c r="P72">
        <v>720</v>
      </c>
    </row>
    <row r="73" spans="1:16" x14ac:dyDescent="0.35">
      <c r="A73">
        <v>181</v>
      </c>
      <c r="B73" t="s">
        <v>153</v>
      </c>
      <c r="C73" t="s">
        <v>25</v>
      </c>
      <c r="D73" t="s">
        <v>32</v>
      </c>
      <c r="E73" t="s">
        <v>23</v>
      </c>
      <c r="F73">
        <v>41</v>
      </c>
      <c r="G73" s="1">
        <v>44135</v>
      </c>
      <c r="H73" s="1"/>
      <c r="I73">
        <v>11851</v>
      </c>
      <c r="J73">
        <v>3.96</v>
      </c>
      <c r="K73">
        <v>5</v>
      </c>
      <c r="L73">
        <v>5</v>
      </c>
      <c r="M73">
        <v>13</v>
      </c>
      <c r="N73">
        <v>34</v>
      </c>
      <c r="O73">
        <v>2</v>
      </c>
      <c r="P73">
        <v>1719</v>
      </c>
    </row>
    <row r="74" spans="1:16" x14ac:dyDescent="0.35">
      <c r="A74">
        <v>182</v>
      </c>
      <c r="B74" t="s">
        <v>154</v>
      </c>
      <c r="C74" t="s">
        <v>29</v>
      </c>
      <c r="D74" t="s">
        <v>68</v>
      </c>
      <c r="E74" t="s">
        <v>23</v>
      </c>
      <c r="F74">
        <v>27</v>
      </c>
      <c r="G74" s="1">
        <v>45300</v>
      </c>
      <c r="H74" s="1"/>
      <c r="I74">
        <v>14600</v>
      </c>
      <c r="J74">
        <v>4.03</v>
      </c>
      <c r="K74">
        <v>5</v>
      </c>
      <c r="L74">
        <v>4</v>
      </c>
      <c r="M74">
        <v>10</v>
      </c>
      <c r="N74">
        <v>50</v>
      </c>
      <c r="O74">
        <v>27</v>
      </c>
      <c r="P74">
        <v>316</v>
      </c>
    </row>
    <row r="75" spans="1:16" x14ac:dyDescent="0.35">
      <c r="A75">
        <v>183</v>
      </c>
      <c r="B75" t="s">
        <v>92</v>
      </c>
      <c r="C75" t="s">
        <v>39</v>
      </c>
      <c r="D75" t="s">
        <v>56</v>
      </c>
      <c r="E75" t="s">
        <v>23</v>
      </c>
      <c r="F75">
        <v>33</v>
      </c>
      <c r="G75" s="1">
        <v>43504</v>
      </c>
      <c r="H75" s="1"/>
      <c r="I75">
        <v>10408</v>
      </c>
      <c r="J75">
        <v>3.66</v>
      </c>
      <c r="K75">
        <v>5</v>
      </c>
      <c r="L75">
        <v>5</v>
      </c>
      <c r="M75">
        <v>4</v>
      </c>
      <c r="N75">
        <v>22</v>
      </c>
      <c r="O75">
        <v>1</v>
      </c>
      <c r="P75">
        <v>1088</v>
      </c>
    </row>
    <row r="76" spans="1:16" x14ac:dyDescent="0.35">
      <c r="A76">
        <v>184</v>
      </c>
      <c r="B76" t="s">
        <v>154</v>
      </c>
      <c r="C76" t="s">
        <v>39</v>
      </c>
      <c r="D76" t="s">
        <v>56</v>
      </c>
      <c r="E76" t="s">
        <v>23</v>
      </c>
      <c r="F76">
        <v>31</v>
      </c>
      <c r="G76" s="1">
        <v>44311</v>
      </c>
      <c r="H76" s="1"/>
      <c r="I76">
        <v>9620</v>
      </c>
      <c r="J76">
        <v>3.64</v>
      </c>
      <c r="K76">
        <v>2</v>
      </c>
      <c r="L76">
        <v>5</v>
      </c>
      <c r="M76">
        <v>15</v>
      </c>
      <c r="N76">
        <v>22</v>
      </c>
      <c r="O76">
        <v>30</v>
      </c>
      <c r="P76">
        <v>299</v>
      </c>
    </row>
    <row r="77" spans="1:16" x14ac:dyDescent="0.35">
      <c r="A77">
        <v>185</v>
      </c>
      <c r="B77" t="s">
        <v>155</v>
      </c>
      <c r="C77" t="s">
        <v>36</v>
      </c>
      <c r="D77" t="s">
        <v>37</v>
      </c>
      <c r="E77" t="s">
        <v>19</v>
      </c>
      <c r="F77">
        <v>49</v>
      </c>
      <c r="G77" s="1">
        <v>44954</v>
      </c>
      <c r="H77" s="1"/>
      <c r="I77">
        <v>9620</v>
      </c>
      <c r="J77">
        <v>4.12</v>
      </c>
      <c r="K77">
        <v>2</v>
      </c>
      <c r="L77">
        <v>2</v>
      </c>
      <c r="M77">
        <v>16</v>
      </c>
      <c r="N77">
        <v>11</v>
      </c>
      <c r="O77">
        <v>35</v>
      </c>
      <c r="P77">
        <v>427</v>
      </c>
    </row>
    <row r="78" spans="1:16" x14ac:dyDescent="0.35">
      <c r="A78">
        <v>186</v>
      </c>
      <c r="B78" t="s">
        <v>156</v>
      </c>
      <c r="C78" t="s">
        <v>29</v>
      </c>
      <c r="D78" t="s">
        <v>30</v>
      </c>
      <c r="E78" t="s">
        <v>19</v>
      </c>
      <c r="F78">
        <v>27</v>
      </c>
      <c r="G78" s="1">
        <v>45394</v>
      </c>
      <c r="H78" s="1"/>
      <c r="I78">
        <v>14493</v>
      </c>
      <c r="J78">
        <v>4.1399999999999997</v>
      </c>
      <c r="K78">
        <v>4</v>
      </c>
      <c r="L78">
        <v>1</v>
      </c>
      <c r="M78">
        <v>19</v>
      </c>
      <c r="N78">
        <v>56</v>
      </c>
      <c r="O78">
        <v>12</v>
      </c>
      <c r="P78">
        <v>1020</v>
      </c>
    </row>
    <row r="79" spans="1:16" x14ac:dyDescent="0.35">
      <c r="A79">
        <v>187</v>
      </c>
      <c r="B79" t="s">
        <v>90</v>
      </c>
      <c r="C79" t="s">
        <v>21</v>
      </c>
      <c r="D79" t="s">
        <v>63</v>
      </c>
      <c r="E79" t="s">
        <v>19</v>
      </c>
      <c r="F79">
        <v>40</v>
      </c>
      <c r="G79" s="1">
        <v>44860</v>
      </c>
      <c r="H79" s="1"/>
      <c r="I79">
        <v>5667</v>
      </c>
      <c r="J79">
        <v>4.5</v>
      </c>
      <c r="K79">
        <v>5</v>
      </c>
      <c r="L79">
        <v>2</v>
      </c>
      <c r="M79">
        <v>11</v>
      </c>
      <c r="N79">
        <v>20</v>
      </c>
      <c r="O79">
        <v>12</v>
      </c>
      <c r="P79">
        <v>1037</v>
      </c>
    </row>
    <row r="80" spans="1:16" x14ac:dyDescent="0.35">
      <c r="A80">
        <v>188</v>
      </c>
      <c r="B80" t="s">
        <v>157</v>
      </c>
      <c r="C80" t="s">
        <v>39</v>
      </c>
      <c r="D80" t="s">
        <v>46</v>
      </c>
      <c r="E80" t="s">
        <v>23</v>
      </c>
      <c r="F80">
        <v>41</v>
      </c>
      <c r="G80" s="1">
        <v>44175</v>
      </c>
      <c r="H80" s="1"/>
      <c r="I80">
        <v>10431</v>
      </c>
      <c r="J80">
        <v>3.97</v>
      </c>
      <c r="K80">
        <v>3</v>
      </c>
      <c r="L80">
        <v>3</v>
      </c>
      <c r="M80">
        <v>14</v>
      </c>
      <c r="N80">
        <v>39</v>
      </c>
      <c r="O80">
        <v>11</v>
      </c>
      <c r="P80">
        <v>1766</v>
      </c>
    </row>
    <row r="81" spans="1:16" x14ac:dyDescent="0.35">
      <c r="A81">
        <v>189</v>
      </c>
      <c r="B81" t="s">
        <v>67</v>
      </c>
      <c r="C81" t="s">
        <v>17</v>
      </c>
      <c r="D81" t="s">
        <v>18</v>
      </c>
      <c r="E81" t="s">
        <v>23</v>
      </c>
      <c r="F81">
        <v>25</v>
      </c>
      <c r="G81" s="1">
        <v>44319</v>
      </c>
      <c r="H81" s="1"/>
      <c r="I81">
        <v>7908</v>
      </c>
      <c r="J81">
        <v>3.26</v>
      </c>
      <c r="K81">
        <v>2</v>
      </c>
      <c r="L81">
        <v>3</v>
      </c>
      <c r="M81">
        <v>4</v>
      </c>
      <c r="N81">
        <v>32</v>
      </c>
      <c r="O81">
        <v>24</v>
      </c>
      <c r="P81">
        <v>956</v>
      </c>
    </row>
    <row r="82" spans="1:16" x14ac:dyDescent="0.35">
      <c r="A82">
        <v>190</v>
      </c>
      <c r="B82" t="s">
        <v>129</v>
      </c>
      <c r="C82" t="s">
        <v>21</v>
      </c>
      <c r="D82" t="s">
        <v>63</v>
      </c>
      <c r="E82" t="s">
        <v>19</v>
      </c>
      <c r="F82">
        <v>39</v>
      </c>
      <c r="G82" s="1">
        <v>43665</v>
      </c>
      <c r="H82" s="1"/>
      <c r="I82">
        <v>6733</v>
      </c>
      <c r="J82">
        <v>3.72</v>
      </c>
      <c r="K82">
        <v>2</v>
      </c>
      <c r="L82">
        <v>2</v>
      </c>
      <c r="M82">
        <v>10</v>
      </c>
      <c r="N82">
        <v>53</v>
      </c>
      <c r="O82">
        <v>28</v>
      </c>
      <c r="P82">
        <v>1368</v>
      </c>
    </row>
    <row r="83" spans="1:16" x14ac:dyDescent="0.35">
      <c r="A83">
        <v>191</v>
      </c>
      <c r="B83" t="s">
        <v>95</v>
      </c>
      <c r="C83" t="s">
        <v>39</v>
      </c>
      <c r="D83" t="s">
        <v>56</v>
      </c>
      <c r="E83" t="s">
        <v>23</v>
      </c>
      <c r="F83">
        <v>39</v>
      </c>
      <c r="G83" s="1">
        <v>44571</v>
      </c>
      <c r="H83" s="1"/>
      <c r="I83">
        <v>12281</v>
      </c>
      <c r="J83">
        <v>4.13</v>
      </c>
      <c r="K83">
        <v>4</v>
      </c>
      <c r="L83">
        <v>4</v>
      </c>
      <c r="M83">
        <v>13</v>
      </c>
      <c r="N83">
        <v>45</v>
      </c>
      <c r="O83">
        <v>28</v>
      </c>
      <c r="P83">
        <v>1100</v>
      </c>
    </row>
    <row r="84" spans="1:16" x14ac:dyDescent="0.35">
      <c r="A84">
        <v>192</v>
      </c>
      <c r="B84" t="s">
        <v>77</v>
      </c>
      <c r="C84" t="s">
        <v>25</v>
      </c>
      <c r="D84" t="s">
        <v>32</v>
      </c>
      <c r="E84" t="s">
        <v>23</v>
      </c>
      <c r="F84">
        <v>29</v>
      </c>
      <c r="G84" s="1">
        <v>43439</v>
      </c>
      <c r="H84" s="1"/>
      <c r="I84">
        <v>12808</v>
      </c>
      <c r="J84">
        <v>3.22</v>
      </c>
      <c r="K84">
        <v>4</v>
      </c>
      <c r="L84">
        <v>5</v>
      </c>
      <c r="M84">
        <v>15</v>
      </c>
      <c r="N84">
        <v>35</v>
      </c>
      <c r="O84">
        <v>32</v>
      </c>
      <c r="P84">
        <v>331</v>
      </c>
    </row>
    <row r="85" spans="1:16" x14ac:dyDescent="0.35">
      <c r="A85">
        <v>193</v>
      </c>
      <c r="B85" t="s">
        <v>87</v>
      </c>
      <c r="C85" t="s">
        <v>21</v>
      </c>
      <c r="D85" t="s">
        <v>22</v>
      </c>
      <c r="E85" t="s">
        <v>23</v>
      </c>
      <c r="F85">
        <v>39</v>
      </c>
      <c r="G85" s="1">
        <v>43568</v>
      </c>
      <c r="H85" s="1"/>
      <c r="I85">
        <v>7580</v>
      </c>
      <c r="J85">
        <v>4.97</v>
      </c>
      <c r="K85">
        <v>1</v>
      </c>
      <c r="L85">
        <v>2</v>
      </c>
      <c r="M85">
        <v>9</v>
      </c>
      <c r="N85">
        <v>55</v>
      </c>
      <c r="O85">
        <v>2</v>
      </c>
      <c r="P85">
        <v>1021</v>
      </c>
    </row>
    <row r="86" spans="1:16" x14ac:dyDescent="0.35">
      <c r="A86">
        <v>194</v>
      </c>
      <c r="B86" t="s">
        <v>126</v>
      </c>
      <c r="C86" t="s">
        <v>29</v>
      </c>
      <c r="D86" t="s">
        <v>68</v>
      </c>
      <c r="E86" t="s">
        <v>19</v>
      </c>
      <c r="F86">
        <v>28</v>
      </c>
      <c r="G86" s="1">
        <v>44528</v>
      </c>
      <c r="H86" s="1"/>
      <c r="I86">
        <v>13632</v>
      </c>
      <c r="J86">
        <v>4.22</v>
      </c>
      <c r="K86">
        <v>5</v>
      </c>
      <c r="L86">
        <v>4</v>
      </c>
      <c r="M86">
        <v>5</v>
      </c>
      <c r="N86">
        <v>39</v>
      </c>
      <c r="O86">
        <v>8</v>
      </c>
      <c r="P86">
        <v>1707</v>
      </c>
    </row>
    <row r="87" spans="1:16" x14ac:dyDescent="0.35">
      <c r="A87">
        <v>195</v>
      </c>
      <c r="B87" t="s">
        <v>158</v>
      </c>
      <c r="C87" t="s">
        <v>25</v>
      </c>
      <c r="D87" t="s">
        <v>44</v>
      </c>
      <c r="E87" t="s">
        <v>23</v>
      </c>
      <c r="F87">
        <v>41</v>
      </c>
      <c r="G87" s="1">
        <v>43948</v>
      </c>
      <c r="H87" s="1"/>
      <c r="I87">
        <v>12827</v>
      </c>
      <c r="J87">
        <v>2.92</v>
      </c>
      <c r="K87">
        <v>3</v>
      </c>
      <c r="L87">
        <v>3</v>
      </c>
      <c r="M87">
        <v>18</v>
      </c>
      <c r="N87">
        <v>17</v>
      </c>
      <c r="O87">
        <v>32</v>
      </c>
      <c r="P87">
        <v>1943</v>
      </c>
    </row>
    <row r="88" spans="1:16" x14ac:dyDescent="0.35">
      <c r="A88">
        <v>196</v>
      </c>
      <c r="B88" t="s">
        <v>108</v>
      </c>
      <c r="C88" t="s">
        <v>17</v>
      </c>
      <c r="D88" t="s">
        <v>18</v>
      </c>
      <c r="E88" t="s">
        <v>19</v>
      </c>
      <c r="F88">
        <v>29</v>
      </c>
      <c r="G88" s="1">
        <v>43491</v>
      </c>
      <c r="H88" s="1">
        <v>44363</v>
      </c>
      <c r="I88">
        <v>6396</v>
      </c>
      <c r="J88">
        <v>4.28</v>
      </c>
      <c r="K88">
        <v>2</v>
      </c>
      <c r="L88">
        <v>4</v>
      </c>
      <c r="M88">
        <v>15</v>
      </c>
      <c r="N88">
        <v>9</v>
      </c>
      <c r="O88">
        <v>36</v>
      </c>
      <c r="P88">
        <v>1395</v>
      </c>
    </row>
    <row r="89" spans="1:16" x14ac:dyDescent="0.35">
      <c r="A89">
        <v>197</v>
      </c>
      <c r="B89" t="s">
        <v>154</v>
      </c>
      <c r="C89" t="s">
        <v>29</v>
      </c>
      <c r="D89" t="s">
        <v>30</v>
      </c>
      <c r="E89" t="s">
        <v>23</v>
      </c>
      <c r="F89">
        <v>44</v>
      </c>
      <c r="G89" s="1">
        <v>44797</v>
      </c>
      <c r="H89" s="1"/>
      <c r="I89">
        <v>10046</v>
      </c>
      <c r="J89">
        <v>3.64</v>
      </c>
      <c r="K89">
        <v>4</v>
      </c>
      <c r="L89">
        <v>3</v>
      </c>
      <c r="M89">
        <v>18</v>
      </c>
      <c r="N89">
        <v>0</v>
      </c>
      <c r="O89">
        <v>5</v>
      </c>
      <c r="P89">
        <v>1596</v>
      </c>
    </row>
    <row r="90" spans="1:16" x14ac:dyDescent="0.35">
      <c r="A90">
        <v>198</v>
      </c>
      <c r="B90" t="s">
        <v>20</v>
      </c>
      <c r="C90" t="s">
        <v>36</v>
      </c>
      <c r="D90" t="s">
        <v>37</v>
      </c>
      <c r="E90" t="s">
        <v>23</v>
      </c>
      <c r="F90">
        <v>48</v>
      </c>
      <c r="G90" s="1">
        <v>44568</v>
      </c>
      <c r="H90" s="1"/>
      <c r="I90">
        <v>7470</v>
      </c>
      <c r="J90">
        <v>3.74</v>
      </c>
      <c r="K90">
        <v>3</v>
      </c>
      <c r="L90">
        <v>3</v>
      </c>
      <c r="M90">
        <v>10</v>
      </c>
      <c r="N90">
        <v>35</v>
      </c>
      <c r="O90">
        <v>36</v>
      </c>
      <c r="P90">
        <v>367</v>
      </c>
    </row>
    <row r="91" spans="1:16" x14ac:dyDescent="0.35">
      <c r="A91">
        <v>199</v>
      </c>
      <c r="B91" t="s">
        <v>70</v>
      </c>
      <c r="C91" t="s">
        <v>21</v>
      </c>
      <c r="D91" t="s">
        <v>22</v>
      </c>
      <c r="E91" t="s">
        <v>23</v>
      </c>
      <c r="F91">
        <v>22</v>
      </c>
      <c r="G91" s="1">
        <v>45088</v>
      </c>
      <c r="H91" s="1"/>
      <c r="I91">
        <v>6035</v>
      </c>
      <c r="J91">
        <v>4.82</v>
      </c>
      <c r="K91">
        <v>2</v>
      </c>
      <c r="L91">
        <v>4</v>
      </c>
      <c r="M91">
        <v>14</v>
      </c>
      <c r="N91">
        <v>0</v>
      </c>
      <c r="O91">
        <v>27</v>
      </c>
      <c r="P91">
        <v>514</v>
      </c>
    </row>
    <row r="92" spans="1:16" x14ac:dyDescent="0.35">
      <c r="A92">
        <v>200</v>
      </c>
      <c r="B92" t="s">
        <v>124</v>
      </c>
      <c r="C92" t="s">
        <v>17</v>
      </c>
      <c r="D92" t="s">
        <v>71</v>
      </c>
      <c r="E92" t="s">
        <v>19</v>
      </c>
      <c r="F92">
        <v>42</v>
      </c>
      <c r="G92" s="1">
        <v>43641</v>
      </c>
      <c r="H92" s="1"/>
      <c r="I92">
        <v>9905</v>
      </c>
      <c r="J92">
        <v>3.13</v>
      </c>
      <c r="K92">
        <v>3</v>
      </c>
      <c r="L92">
        <v>2</v>
      </c>
      <c r="M92">
        <v>1</v>
      </c>
      <c r="N92">
        <v>25</v>
      </c>
      <c r="O92">
        <v>40</v>
      </c>
      <c r="P92">
        <v>725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A7EA-1A03-47C6-97CC-000796BCFA35}">
  <dimension ref="A1:Q201"/>
  <sheetViews>
    <sheetView topLeftCell="C1" workbookViewId="0">
      <selection activeCell="P1" sqref="P1:P1048576"/>
    </sheetView>
  </sheetViews>
  <sheetFormatPr defaultRowHeight="14.5" x14ac:dyDescent="0.35"/>
  <cols>
    <col min="1" max="1" width="13.08984375" bestFit="1" customWidth="1"/>
    <col min="2" max="2" width="18.90625" bestFit="1" customWidth="1"/>
    <col min="3" max="3" width="13.36328125" bestFit="1" customWidth="1"/>
    <col min="4" max="4" width="17.54296875" bestFit="1" customWidth="1"/>
    <col min="5" max="5" width="9.26953125" bestFit="1" customWidth="1"/>
    <col min="6" max="6" width="6.1796875" bestFit="1" customWidth="1"/>
    <col min="7" max="7" width="10.54296875" bestFit="1" customWidth="1"/>
    <col min="8" max="8" width="8.08984375" bestFit="1" customWidth="1"/>
    <col min="9" max="9" width="18.54296875" bestFit="1" customWidth="1"/>
    <col min="10" max="10" width="13.90625" bestFit="1" customWidth="1"/>
    <col min="11" max="11" width="17.453125" bestFit="1" customWidth="1"/>
    <col min="12" max="12" width="18.08984375" bestFit="1" customWidth="1"/>
    <col min="13" max="13" width="14.08984375" bestFit="1" customWidth="1"/>
    <col min="14" max="14" width="16" bestFit="1" customWidth="1"/>
    <col min="15" max="15" width="14.81640625" bestFit="1" customWidth="1"/>
    <col min="16" max="16" width="13.54296875" bestFit="1" customWidth="1"/>
    <col min="17" max="17" width="15.26953125" bestFit="1" customWidth="1"/>
    <col min="18" max="18" width="15.26953125" customWidth="1"/>
  </cols>
  <sheetData>
    <row r="1" spans="1:17" x14ac:dyDescent="0.35">
      <c r="A1" t="s">
        <v>0</v>
      </c>
      <c r="B1" t="s">
        <v>1</v>
      </c>
      <c r="C1" t="s">
        <v>2</v>
      </c>
      <c r="D1" t="s">
        <v>3</v>
      </c>
      <c r="E1" t="s">
        <v>4</v>
      </c>
      <c r="F1" t="s">
        <v>5</v>
      </c>
      <c r="G1" t="s">
        <v>6</v>
      </c>
      <c r="H1" t="s">
        <v>8</v>
      </c>
      <c r="I1" t="s">
        <v>9</v>
      </c>
      <c r="J1" t="s">
        <v>178</v>
      </c>
      <c r="K1" t="s">
        <v>10</v>
      </c>
      <c r="L1" t="s">
        <v>11</v>
      </c>
      <c r="M1" t="s">
        <v>12</v>
      </c>
      <c r="N1" t="s">
        <v>13</v>
      </c>
      <c r="O1" t="s">
        <v>14</v>
      </c>
      <c r="P1" t="s">
        <v>15</v>
      </c>
      <c r="Q1" t="s">
        <v>174</v>
      </c>
    </row>
    <row r="2" spans="1:17" x14ac:dyDescent="0.35">
      <c r="A2">
        <v>1</v>
      </c>
      <c r="B2" t="s">
        <v>16</v>
      </c>
      <c r="C2" t="s">
        <v>17</v>
      </c>
      <c r="D2" t="s">
        <v>18</v>
      </c>
      <c r="E2" t="s">
        <v>19</v>
      </c>
      <c r="F2">
        <v>43</v>
      </c>
      <c r="G2" s="1">
        <v>43557</v>
      </c>
      <c r="H2">
        <v>12935</v>
      </c>
      <c r="I2">
        <v>2.72</v>
      </c>
      <c r="J2" t="s">
        <v>179</v>
      </c>
      <c r="K2">
        <v>4</v>
      </c>
      <c r="L2">
        <v>1</v>
      </c>
      <c r="M2">
        <v>0</v>
      </c>
      <c r="N2">
        <v>5</v>
      </c>
      <c r="O2">
        <v>13</v>
      </c>
      <c r="P2">
        <v>576</v>
      </c>
      <c r="Q2" t="s">
        <v>175</v>
      </c>
    </row>
    <row r="3" spans="1:17" x14ac:dyDescent="0.35">
      <c r="A3">
        <v>2</v>
      </c>
      <c r="B3" t="s">
        <v>20</v>
      </c>
      <c r="C3" t="s">
        <v>21</v>
      </c>
      <c r="D3" t="s">
        <v>22</v>
      </c>
      <c r="E3" t="s">
        <v>23</v>
      </c>
      <c r="F3">
        <v>40</v>
      </c>
      <c r="G3" s="1">
        <v>45566</v>
      </c>
      <c r="H3">
        <v>8557</v>
      </c>
      <c r="I3">
        <v>4.5199999999999996</v>
      </c>
      <c r="J3" t="s">
        <v>180</v>
      </c>
      <c r="K3">
        <v>1</v>
      </c>
      <c r="L3">
        <v>2</v>
      </c>
      <c r="M3">
        <v>13</v>
      </c>
      <c r="N3">
        <v>21</v>
      </c>
      <c r="O3">
        <v>17</v>
      </c>
      <c r="P3">
        <v>418</v>
      </c>
      <c r="Q3" t="s">
        <v>175</v>
      </c>
    </row>
    <row r="4" spans="1:17" x14ac:dyDescent="0.35">
      <c r="A4">
        <v>3</v>
      </c>
      <c r="B4" t="s">
        <v>24</v>
      </c>
      <c r="C4" t="s">
        <v>25</v>
      </c>
      <c r="D4" t="s">
        <v>26</v>
      </c>
      <c r="E4" t="s">
        <v>23</v>
      </c>
      <c r="F4">
        <v>47</v>
      </c>
      <c r="G4" s="1">
        <v>44479</v>
      </c>
      <c r="H4">
        <v>4711</v>
      </c>
      <c r="I4">
        <v>4.32</v>
      </c>
      <c r="J4" t="s">
        <v>181</v>
      </c>
      <c r="K4">
        <v>5</v>
      </c>
      <c r="L4">
        <v>1</v>
      </c>
      <c r="M4">
        <v>12</v>
      </c>
      <c r="N4">
        <v>5</v>
      </c>
      <c r="O4">
        <v>35</v>
      </c>
      <c r="P4">
        <v>700</v>
      </c>
      <c r="Q4" t="s">
        <v>175</v>
      </c>
    </row>
    <row r="5" spans="1:17" x14ac:dyDescent="0.35">
      <c r="A5">
        <v>4</v>
      </c>
      <c r="B5" t="s">
        <v>27</v>
      </c>
      <c r="C5" t="s">
        <v>17</v>
      </c>
      <c r="D5" t="s">
        <v>18</v>
      </c>
      <c r="E5" t="s">
        <v>19</v>
      </c>
      <c r="F5">
        <v>23</v>
      </c>
      <c r="G5" s="1">
        <v>45634</v>
      </c>
      <c r="H5">
        <v>14834</v>
      </c>
      <c r="I5">
        <v>3.07</v>
      </c>
      <c r="J5" t="s">
        <v>179</v>
      </c>
      <c r="K5">
        <v>3</v>
      </c>
      <c r="L5">
        <v>1</v>
      </c>
      <c r="M5">
        <v>7</v>
      </c>
      <c r="N5">
        <v>55</v>
      </c>
      <c r="O5">
        <v>6</v>
      </c>
      <c r="P5">
        <v>878</v>
      </c>
      <c r="Q5" t="s">
        <v>175</v>
      </c>
    </row>
    <row r="6" spans="1:17" x14ac:dyDescent="0.35">
      <c r="A6">
        <v>5</v>
      </c>
      <c r="B6" t="s">
        <v>28</v>
      </c>
      <c r="C6" t="s">
        <v>29</v>
      </c>
      <c r="D6" t="s">
        <v>30</v>
      </c>
      <c r="E6" t="s">
        <v>23</v>
      </c>
      <c r="F6">
        <v>28</v>
      </c>
      <c r="G6" s="1">
        <v>44958</v>
      </c>
      <c r="H6">
        <v>14980</v>
      </c>
      <c r="I6">
        <v>3.17</v>
      </c>
      <c r="J6" t="s">
        <v>179</v>
      </c>
      <c r="K6">
        <v>1</v>
      </c>
      <c r="L6">
        <v>5</v>
      </c>
      <c r="M6">
        <v>20</v>
      </c>
      <c r="N6">
        <v>10</v>
      </c>
      <c r="O6">
        <v>34</v>
      </c>
      <c r="P6">
        <v>1593</v>
      </c>
      <c r="Q6" t="s">
        <v>176</v>
      </c>
    </row>
    <row r="7" spans="1:17" x14ac:dyDescent="0.35">
      <c r="A7">
        <v>6</v>
      </c>
      <c r="B7" t="s">
        <v>31</v>
      </c>
      <c r="C7" t="s">
        <v>25</v>
      </c>
      <c r="D7" t="s">
        <v>32</v>
      </c>
      <c r="E7" t="s">
        <v>23</v>
      </c>
      <c r="F7">
        <v>48</v>
      </c>
      <c r="G7" s="1">
        <v>43770</v>
      </c>
      <c r="H7">
        <v>4916</v>
      </c>
      <c r="I7">
        <v>3.07</v>
      </c>
      <c r="J7" t="s">
        <v>179</v>
      </c>
      <c r="K7">
        <v>1</v>
      </c>
      <c r="L7">
        <v>3</v>
      </c>
      <c r="M7">
        <v>12</v>
      </c>
      <c r="N7">
        <v>17</v>
      </c>
      <c r="O7">
        <v>4</v>
      </c>
      <c r="P7">
        <v>532</v>
      </c>
      <c r="Q7" t="s">
        <v>175</v>
      </c>
    </row>
    <row r="8" spans="1:17" x14ac:dyDescent="0.35">
      <c r="A8">
        <v>7</v>
      </c>
      <c r="B8" t="s">
        <v>33</v>
      </c>
      <c r="C8" t="s">
        <v>21</v>
      </c>
      <c r="D8" t="s">
        <v>22</v>
      </c>
      <c r="E8" t="s">
        <v>23</v>
      </c>
      <c r="F8">
        <v>26</v>
      </c>
      <c r="G8" s="1">
        <v>44389</v>
      </c>
      <c r="H8">
        <v>8040</v>
      </c>
      <c r="I8">
        <v>4.3600000000000003</v>
      </c>
      <c r="J8" t="s">
        <v>181</v>
      </c>
      <c r="K8">
        <v>5</v>
      </c>
      <c r="L8">
        <v>3</v>
      </c>
      <c r="M8">
        <v>18</v>
      </c>
      <c r="N8">
        <v>27</v>
      </c>
      <c r="O8">
        <v>37</v>
      </c>
      <c r="P8">
        <v>917</v>
      </c>
      <c r="Q8" t="s">
        <v>175</v>
      </c>
    </row>
    <row r="9" spans="1:17" x14ac:dyDescent="0.35">
      <c r="A9">
        <v>8</v>
      </c>
      <c r="B9" t="s">
        <v>34</v>
      </c>
      <c r="C9" t="s">
        <v>29</v>
      </c>
      <c r="D9" t="s">
        <v>30</v>
      </c>
      <c r="E9" t="s">
        <v>19</v>
      </c>
      <c r="F9">
        <v>46</v>
      </c>
      <c r="G9" s="1">
        <v>43999</v>
      </c>
      <c r="H9">
        <v>4771</v>
      </c>
      <c r="I9">
        <v>4.6500000000000004</v>
      </c>
      <c r="J9" t="s">
        <v>180</v>
      </c>
      <c r="K9">
        <v>2</v>
      </c>
      <c r="L9">
        <v>2</v>
      </c>
      <c r="M9">
        <v>13</v>
      </c>
      <c r="N9">
        <v>38</v>
      </c>
      <c r="O9">
        <v>4</v>
      </c>
      <c r="P9">
        <v>888</v>
      </c>
      <c r="Q9" t="s">
        <v>175</v>
      </c>
    </row>
    <row r="10" spans="1:17" x14ac:dyDescent="0.35">
      <c r="A10">
        <v>9</v>
      </c>
      <c r="B10" t="s">
        <v>35</v>
      </c>
      <c r="C10" t="s">
        <v>36</v>
      </c>
      <c r="D10" t="s">
        <v>37</v>
      </c>
      <c r="E10" t="s">
        <v>19</v>
      </c>
      <c r="F10">
        <v>43</v>
      </c>
      <c r="G10" s="1">
        <v>45541</v>
      </c>
      <c r="H10">
        <v>12797</v>
      </c>
      <c r="I10">
        <v>4.38</v>
      </c>
      <c r="J10" t="s">
        <v>181</v>
      </c>
      <c r="K10">
        <v>3</v>
      </c>
      <c r="L10">
        <v>1</v>
      </c>
      <c r="M10">
        <v>9</v>
      </c>
      <c r="N10">
        <v>27</v>
      </c>
      <c r="O10">
        <v>10</v>
      </c>
      <c r="P10">
        <v>1029</v>
      </c>
      <c r="Q10" t="s">
        <v>177</v>
      </c>
    </row>
    <row r="11" spans="1:17" x14ac:dyDescent="0.35">
      <c r="A11">
        <v>10</v>
      </c>
      <c r="B11" t="s">
        <v>38</v>
      </c>
      <c r="C11" t="s">
        <v>39</v>
      </c>
      <c r="D11" t="s">
        <v>40</v>
      </c>
      <c r="E11" t="s">
        <v>23</v>
      </c>
      <c r="F11">
        <v>48</v>
      </c>
      <c r="G11" s="1">
        <v>44179</v>
      </c>
      <c r="H11">
        <v>14468</v>
      </c>
      <c r="I11">
        <v>3.77</v>
      </c>
      <c r="J11" t="s">
        <v>181</v>
      </c>
      <c r="K11">
        <v>2</v>
      </c>
      <c r="L11">
        <v>2</v>
      </c>
      <c r="M11">
        <v>11</v>
      </c>
      <c r="N11">
        <v>48</v>
      </c>
      <c r="O11">
        <v>10</v>
      </c>
      <c r="P11">
        <v>1204</v>
      </c>
      <c r="Q11" t="s">
        <v>177</v>
      </c>
    </row>
    <row r="12" spans="1:17" x14ac:dyDescent="0.35">
      <c r="A12">
        <v>11</v>
      </c>
      <c r="B12" t="s">
        <v>54</v>
      </c>
      <c r="C12" t="s">
        <v>21</v>
      </c>
      <c r="D12" t="s">
        <v>22</v>
      </c>
      <c r="E12" t="s">
        <v>23</v>
      </c>
      <c r="F12">
        <v>50</v>
      </c>
      <c r="G12" s="1">
        <v>43103</v>
      </c>
      <c r="H12">
        <v>9038</v>
      </c>
      <c r="I12">
        <v>3.1</v>
      </c>
      <c r="J12" t="s">
        <v>179</v>
      </c>
      <c r="K12">
        <v>2</v>
      </c>
      <c r="L12">
        <v>5</v>
      </c>
      <c r="M12">
        <v>2</v>
      </c>
      <c r="N12">
        <v>5</v>
      </c>
      <c r="O12">
        <v>31</v>
      </c>
      <c r="P12">
        <v>1771</v>
      </c>
      <c r="Q12" t="s">
        <v>176</v>
      </c>
    </row>
    <row r="13" spans="1:17" x14ac:dyDescent="0.35">
      <c r="A13">
        <v>12</v>
      </c>
      <c r="B13" t="s">
        <v>55</v>
      </c>
      <c r="C13" t="s">
        <v>39</v>
      </c>
      <c r="D13" t="s">
        <v>56</v>
      </c>
      <c r="E13" t="s">
        <v>23</v>
      </c>
      <c r="F13">
        <v>38</v>
      </c>
      <c r="G13" s="1">
        <v>45282</v>
      </c>
      <c r="H13">
        <v>13938</v>
      </c>
      <c r="I13">
        <v>3.56</v>
      </c>
      <c r="J13" t="s">
        <v>181</v>
      </c>
      <c r="K13">
        <v>2</v>
      </c>
      <c r="L13">
        <v>5</v>
      </c>
      <c r="M13">
        <v>6</v>
      </c>
      <c r="N13">
        <v>45</v>
      </c>
      <c r="O13">
        <v>19</v>
      </c>
      <c r="P13">
        <v>917</v>
      </c>
      <c r="Q13" t="s">
        <v>175</v>
      </c>
    </row>
    <row r="14" spans="1:17" x14ac:dyDescent="0.35">
      <c r="A14">
        <v>13</v>
      </c>
      <c r="B14" t="s">
        <v>57</v>
      </c>
      <c r="C14" t="s">
        <v>17</v>
      </c>
      <c r="D14" t="s">
        <v>18</v>
      </c>
      <c r="E14" t="s">
        <v>19</v>
      </c>
      <c r="F14">
        <v>29</v>
      </c>
      <c r="G14" s="1">
        <v>44630</v>
      </c>
      <c r="H14">
        <v>5049</v>
      </c>
      <c r="I14">
        <v>3.35</v>
      </c>
      <c r="J14" t="s">
        <v>179</v>
      </c>
      <c r="K14">
        <v>5</v>
      </c>
      <c r="L14">
        <v>5</v>
      </c>
      <c r="M14">
        <v>7</v>
      </c>
      <c r="N14">
        <v>37</v>
      </c>
      <c r="O14">
        <v>14</v>
      </c>
      <c r="P14">
        <v>114</v>
      </c>
      <c r="Q14" t="s">
        <v>175</v>
      </c>
    </row>
    <row r="15" spans="1:17" x14ac:dyDescent="0.35">
      <c r="A15">
        <v>14</v>
      </c>
      <c r="B15" t="s">
        <v>58</v>
      </c>
      <c r="C15" t="s">
        <v>39</v>
      </c>
      <c r="D15" t="s">
        <v>56</v>
      </c>
      <c r="E15" t="s">
        <v>23</v>
      </c>
      <c r="F15">
        <v>43</v>
      </c>
      <c r="G15" s="1">
        <v>43342</v>
      </c>
      <c r="H15">
        <v>11953</v>
      </c>
      <c r="I15">
        <v>3.04</v>
      </c>
      <c r="J15" t="s">
        <v>179</v>
      </c>
      <c r="K15">
        <v>2</v>
      </c>
      <c r="L15">
        <v>5</v>
      </c>
      <c r="M15">
        <v>18</v>
      </c>
      <c r="N15">
        <v>30</v>
      </c>
      <c r="O15">
        <v>15</v>
      </c>
      <c r="P15">
        <v>1706</v>
      </c>
      <c r="Q15" t="s">
        <v>176</v>
      </c>
    </row>
    <row r="16" spans="1:17" x14ac:dyDescent="0.35">
      <c r="A16">
        <v>15</v>
      </c>
      <c r="B16" t="s">
        <v>59</v>
      </c>
      <c r="C16" t="s">
        <v>36</v>
      </c>
      <c r="D16" t="s">
        <v>50</v>
      </c>
      <c r="E16" t="s">
        <v>23</v>
      </c>
      <c r="F16">
        <v>36</v>
      </c>
      <c r="G16" s="1">
        <v>44768</v>
      </c>
      <c r="H16">
        <v>4887</v>
      </c>
      <c r="I16">
        <v>4.18</v>
      </c>
      <c r="J16" t="s">
        <v>181</v>
      </c>
      <c r="K16">
        <v>1</v>
      </c>
      <c r="L16">
        <v>1</v>
      </c>
      <c r="M16">
        <v>12</v>
      </c>
      <c r="N16">
        <v>46</v>
      </c>
      <c r="O16">
        <v>21</v>
      </c>
      <c r="P16">
        <v>1739</v>
      </c>
      <c r="Q16" t="s">
        <v>176</v>
      </c>
    </row>
    <row r="17" spans="1:17" x14ac:dyDescent="0.35">
      <c r="A17">
        <v>16</v>
      </c>
      <c r="B17" t="s">
        <v>60</v>
      </c>
      <c r="C17" t="s">
        <v>39</v>
      </c>
      <c r="D17" t="s">
        <v>61</v>
      </c>
      <c r="E17" t="s">
        <v>19</v>
      </c>
      <c r="F17">
        <v>30</v>
      </c>
      <c r="G17" s="1">
        <v>44119</v>
      </c>
      <c r="H17">
        <v>11579</v>
      </c>
      <c r="I17">
        <v>3.12</v>
      </c>
      <c r="J17" t="s">
        <v>179</v>
      </c>
      <c r="K17">
        <v>1</v>
      </c>
      <c r="L17">
        <v>4</v>
      </c>
      <c r="M17">
        <v>17</v>
      </c>
      <c r="N17">
        <v>6</v>
      </c>
      <c r="O17">
        <v>3</v>
      </c>
      <c r="P17">
        <v>1435</v>
      </c>
      <c r="Q17" t="s">
        <v>177</v>
      </c>
    </row>
    <row r="18" spans="1:17" x14ac:dyDescent="0.35">
      <c r="A18">
        <v>17</v>
      </c>
      <c r="B18" t="s">
        <v>62</v>
      </c>
      <c r="C18" t="s">
        <v>21</v>
      </c>
      <c r="D18" t="s">
        <v>63</v>
      </c>
      <c r="E18" t="s">
        <v>23</v>
      </c>
      <c r="F18">
        <v>37</v>
      </c>
      <c r="G18" s="1">
        <v>43161</v>
      </c>
      <c r="H18">
        <v>7502</v>
      </c>
      <c r="I18">
        <v>4.66</v>
      </c>
      <c r="J18" t="s">
        <v>180</v>
      </c>
      <c r="K18">
        <v>1</v>
      </c>
      <c r="L18">
        <v>2</v>
      </c>
      <c r="M18">
        <v>12</v>
      </c>
      <c r="N18">
        <v>0</v>
      </c>
      <c r="O18">
        <v>24</v>
      </c>
      <c r="P18">
        <v>643</v>
      </c>
      <c r="Q18" t="s">
        <v>175</v>
      </c>
    </row>
    <row r="19" spans="1:17" x14ac:dyDescent="0.35">
      <c r="A19">
        <v>18</v>
      </c>
      <c r="B19" t="s">
        <v>64</v>
      </c>
      <c r="C19" t="s">
        <v>36</v>
      </c>
      <c r="D19" t="s">
        <v>37</v>
      </c>
      <c r="E19" t="s">
        <v>19</v>
      </c>
      <c r="F19">
        <v>31</v>
      </c>
      <c r="G19" s="1">
        <v>44269</v>
      </c>
      <c r="H19">
        <v>7566</v>
      </c>
      <c r="I19">
        <v>4.92</v>
      </c>
      <c r="J19" t="s">
        <v>180</v>
      </c>
      <c r="K19">
        <v>5</v>
      </c>
      <c r="L19">
        <v>5</v>
      </c>
      <c r="M19">
        <v>1</v>
      </c>
      <c r="N19">
        <v>47</v>
      </c>
      <c r="O19">
        <v>20</v>
      </c>
      <c r="P19">
        <v>217</v>
      </c>
      <c r="Q19" t="s">
        <v>175</v>
      </c>
    </row>
    <row r="20" spans="1:17" x14ac:dyDescent="0.35">
      <c r="A20">
        <v>19</v>
      </c>
      <c r="B20" t="s">
        <v>65</v>
      </c>
      <c r="C20" t="s">
        <v>39</v>
      </c>
      <c r="D20" t="s">
        <v>40</v>
      </c>
      <c r="E20" t="s">
        <v>19</v>
      </c>
      <c r="F20">
        <v>49</v>
      </c>
      <c r="G20" s="1">
        <v>45493</v>
      </c>
      <c r="H20">
        <v>7044</v>
      </c>
      <c r="I20">
        <v>2.67</v>
      </c>
      <c r="J20" t="s">
        <v>193</v>
      </c>
      <c r="K20">
        <v>1</v>
      </c>
      <c r="L20">
        <v>2</v>
      </c>
      <c r="M20">
        <v>12</v>
      </c>
      <c r="N20">
        <v>7</v>
      </c>
      <c r="O20">
        <v>36</v>
      </c>
      <c r="P20">
        <v>604</v>
      </c>
      <c r="Q20" t="s">
        <v>175</v>
      </c>
    </row>
    <row r="21" spans="1:17" x14ac:dyDescent="0.35">
      <c r="A21">
        <v>20</v>
      </c>
      <c r="B21" t="s">
        <v>66</v>
      </c>
      <c r="C21" t="s">
        <v>21</v>
      </c>
      <c r="D21" t="s">
        <v>63</v>
      </c>
      <c r="E21" t="s">
        <v>23</v>
      </c>
      <c r="F21">
        <v>28</v>
      </c>
      <c r="G21" s="1">
        <v>45536</v>
      </c>
      <c r="H21">
        <v>14972</v>
      </c>
      <c r="I21">
        <v>4.29</v>
      </c>
      <c r="J21" t="s">
        <v>181</v>
      </c>
      <c r="K21">
        <v>2</v>
      </c>
      <c r="L21">
        <v>3</v>
      </c>
      <c r="M21">
        <v>12</v>
      </c>
      <c r="N21">
        <v>8</v>
      </c>
      <c r="O21">
        <v>19</v>
      </c>
      <c r="P21">
        <v>1036</v>
      </c>
      <c r="Q21" t="s">
        <v>177</v>
      </c>
    </row>
    <row r="22" spans="1:17" x14ac:dyDescent="0.35">
      <c r="A22">
        <v>21</v>
      </c>
      <c r="B22" t="s">
        <v>67</v>
      </c>
      <c r="C22" t="s">
        <v>29</v>
      </c>
      <c r="D22" t="s">
        <v>68</v>
      </c>
      <c r="E22" t="s">
        <v>19</v>
      </c>
      <c r="F22">
        <v>38</v>
      </c>
      <c r="G22" s="1">
        <v>43398</v>
      </c>
      <c r="H22">
        <v>8345</v>
      </c>
      <c r="I22">
        <v>2.83</v>
      </c>
      <c r="J22" t="s">
        <v>179</v>
      </c>
      <c r="K22">
        <v>3</v>
      </c>
      <c r="L22">
        <v>1</v>
      </c>
      <c r="M22">
        <v>7</v>
      </c>
      <c r="N22">
        <v>23</v>
      </c>
      <c r="O22">
        <v>18</v>
      </c>
      <c r="P22">
        <v>423</v>
      </c>
      <c r="Q22" t="s">
        <v>175</v>
      </c>
    </row>
    <row r="23" spans="1:17" x14ac:dyDescent="0.35">
      <c r="A23">
        <v>22</v>
      </c>
      <c r="B23" t="s">
        <v>42</v>
      </c>
      <c r="C23" t="s">
        <v>36</v>
      </c>
      <c r="D23" t="s">
        <v>37</v>
      </c>
      <c r="E23" t="s">
        <v>23</v>
      </c>
      <c r="F23">
        <v>43</v>
      </c>
      <c r="G23" s="1">
        <v>45326</v>
      </c>
      <c r="H23">
        <v>5697</v>
      </c>
      <c r="I23">
        <v>4.8499999999999996</v>
      </c>
      <c r="J23" t="s">
        <v>180</v>
      </c>
      <c r="K23">
        <v>2</v>
      </c>
      <c r="L23">
        <v>3</v>
      </c>
      <c r="M23">
        <v>3</v>
      </c>
      <c r="N23">
        <v>56</v>
      </c>
      <c r="O23">
        <v>6</v>
      </c>
      <c r="P23">
        <v>1620</v>
      </c>
      <c r="Q23" t="s">
        <v>176</v>
      </c>
    </row>
    <row r="24" spans="1:17" x14ac:dyDescent="0.35">
      <c r="A24">
        <v>23</v>
      </c>
      <c r="B24" t="s">
        <v>69</v>
      </c>
      <c r="C24" t="s">
        <v>21</v>
      </c>
      <c r="D24" t="s">
        <v>63</v>
      </c>
      <c r="E24" t="s">
        <v>19</v>
      </c>
      <c r="F24">
        <v>43</v>
      </c>
      <c r="G24" s="1">
        <v>43737</v>
      </c>
      <c r="H24">
        <v>14391</v>
      </c>
      <c r="I24">
        <v>4.63</v>
      </c>
      <c r="J24" t="s">
        <v>180</v>
      </c>
      <c r="K24">
        <v>5</v>
      </c>
      <c r="L24">
        <v>4</v>
      </c>
      <c r="M24">
        <v>8</v>
      </c>
      <c r="N24">
        <v>57</v>
      </c>
      <c r="O24">
        <v>3</v>
      </c>
      <c r="P24">
        <v>289</v>
      </c>
      <c r="Q24" t="s">
        <v>175</v>
      </c>
    </row>
    <row r="25" spans="1:17" x14ac:dyDescent="0.35">
      <c r="A25">
        <v>24</v>
      </c>
      <c r="B25" t="s">
        <v>70</v>
      </c>
      <c r="C25" t="s">
        <v>17</v>
      </c>
      <c r="D25" t="s">
        <v>71</v>
      </c>
      <c r="E25" t="s">
        <v>19</v>
      </c>
      <c r="F25">
        <v>42</v>
      </c>
      <c r="G25" s="1">
        <v>44835</v>
      </c>
      <c r="H25">
        <v>8291</v>
      </c>
      <c r="I25">
        <v>2.9</v>
      </c>
      <c r="J25" t="s">
        <v>179</v>
      </c>
      <c r="K25">
        <v>4</v>
      </c>
      <c r="L25">
        <v>5</v>
      </c>
      <c r="M25">
        <v>13</v>
      </c>
      <c r="N25">
        <v>35</v>
      </c>
      <c r="O25">
        <v>0</v>
      </c>
      <c r="P25">
        <v>329</v>
      </c>
      <c r="Q25" t="s">
        <v>175</v>
      </c>
    </row>
    <row r="26" spans="1:17" x14ac:dyDescent="0.35">
      <c r="A26">
        <v>25</v>
      </c>
      <c r="B26" t="s">
        <v>27</v>
      </c>
      <c r="C26" t="s">
        <v>39</v>
      </c>
      <c r="D26" t="s">
        <v>56</v>
      </c>
      <c r="E26" t="s">
        <v>23</v>
      </c>
      <c r="F26">
        <v>26</v>
      </c>
      <c r="G26" s="1">
        <v>43711</v>
      </c>
      <c r="H26">
        <v>4685</v>
      </c>
      <c r="I26">
        <v>3.27</v>
      </c>
      <c r="J26" t="s">
        <v>179</v>
      </c>
      <c r="K26">
        <v>1</v>
      </c>
      <c r="L26">
        <v>3</v>
      </c>
      <c r="M26">
        <v>6</v>
      </c>
      <c r="N26">
        <v>43</v>
      </c>
      <c r="O26">
        <v>15</v>
      </c>
      <c r="P26">
        <v>1465</v>
      </c>
      <c r="Q26" t="s">
        <v>177</v>
      </c>
    </row>
    <row r="27" spans="1:17" x14ac:dyDescent="0.35">
      <c r="A27">
        <v>26</v>
      </c>
      <c r="B27" t="s">
        <v>66</v>
      </c>
      <c r="C27" t="s">
        <v>39</v>
      </c>
      <c r="D27" t="s">
        <v>56</v>
      </c>
      <c r="E27" t="s">
        <v>19</v>
      </c>
      <c r="F27">
        <v>49</v>
      </c>
      <c r="G27" s="1">
        <v>44549</v>
      </c>
      <c r="H27">
        <v>6662</v>
      </c>
      <c r="I27">
        <v>4.9400000000000004</v>
      </c>
      <c r="J27" t="s">
        <v>180</v>
      </c>
      <c r="K27">
        <v>2</v>
      </c>
      <c r="L27">
        <v>4</v>
      </c>
      <c r="M27">
        <v>0</v>
      </c>
      <c r="N27">
        <v>11</v>
      </c>
      <c r="O27">
        <v>21</v>
      </c>
      <c r="P27">
        <v>1702</v>
      </c>
      <c r="Q27" t="s">
        <v>176</v>
      </c>
    </row>
    <row r="28" spans="1:17" x14ac:dyDescent="0.35">
      <c r="A28">
        <v>27</v>
      </c>
      <c r="B28" t="s">
        <v>72</v>
      </c>
      <c r="C28" t="s">
        <v>36</v>
      </c>
      <c r="D28" t="s">
        <v>37</v>
      </c>
      <c r="E28" t="s">
        <v>23</v>
      </c>
      <c r="F28">
        <v>29</v>
      </c>
      <c r="G28" s="1">
        <v>44117</v>
      </c>
      <c r="H28">
        <v>7269</v>
      </c>
      <c r="I28">
        <v>4.54</v>
      </c>
      <c r="J28" t="s">
        <v>180</v>
      </c>
      <c r="K28">
        <v>4</v>
      </c>
      <c r="L28">
        <v>3</v>
      </c>
      <c r="M28">
        <v>9</v>
      </c>
      <c r="N28">
        <v>52</v>
      </c>
      <c r="O28">
        <v>14</v>
      </c>
      <c r="P28">
        <v>556</v>
      </c>
      <c r="Q28" t="s">
        <v>175</v>
      </c>
    </row>
    <row r="29" spans="1:17" x14ac:dyDescent="0.35">
      <c r="A29">
        <v>28</v>
      </c>
      <c r="B29" t="s">
        <v>73</v>
      </c>
      <c r="C29" t="s">
        <v>39</v>
      </c>
      <c r="D29" t="s">
        <v>46</v>
      </c>
      <c r="E29" t="s">
        <v>23</v>
      </c>
      <c r="F29">
        <v>42</v>
      </c>
      <c r="G29" s="1">
        <v>43892</v>
      </c>
      <c r="H29">
        <v>12346</v>
      </c>
      <c r="I29">
        <v>3.5</v>
      </c>
      <c r="J29" t="s">
        <v>179</v>
      </c>
      <c r="K29">
        <v>5</v>
      </c>
      <c r="L29">
        <v>3</v>
      </c>
      <c r="M29">
        <v>0</v>
      </c>
      <c r="N29">
        <v>7</v>
      </c>
      <c r="O29">
        <v>16</v>
      </c>
      <c r="P29">
        <v>465</v>
      </c>
      <c r="Q29" t="s">
        <v>175</v>
      </c>
    </row>
    <row r="30" spans="1:17" x14ac:dyDescent="0.35">
      <c r="A30">
        <v>29</v>
      </c>
      <c r="B30" t="s">
        <v>59</v>
      </c>
      <c r="C30" t="s">
        <v>21</v>
      </c>
      <c r="D30" t="s">
        <v>63</v>
      </c>
      <c r="E30" t="s">
        <v>23</v>
      </c>
      <c r="F30">
        <v>41</v>
      </c>
      <c r="G30" s="1">
        <v>44188</v>
      </c>
      <c r="H30">
        <v>12379</v>
      </c>
      <c r="I30">
        <v>2.79</v>
      </c>
      <c r="J30" t="s">
        <v>179</v>
      </c>
      <c r="K30">
        <v>5</v>
      </c>
      <c r="L30">
        <v>2</v>
      </c>
      <c r="M30">
        <v>8</v>
      </c>
      <c r="N30">
        <v>2</v>
      </c>
      <c r="O30">
        <v>27</v>
      </c>
      <c r="P30">
        <v>103</v>
      </c>
      <c r="Q30" t="s">
        <v>175</v>
      </c>
    </row>
    <row r="31" spans="1:17" x14ac:dyDescent="0.35">
      <c r="A31">
        <v>30</v>
      </c>
      <c r="B31" t="s">
        <v>74</v>
      </c>
      <c r="C31" t="s">
        <v>21</v>
      </c>
      <c r="D31" t="s">
        <v>63</v>
      </c>
      <c r="E31" t="s">
        <v>19</v>
      </c>
      <c r="F31">
        <v>43</v>
      </c>
      <c r="G31" s="1">
        <v>45306</v>
      </c>
      <c r="H31">
        <v>9409</v>
      </c>
      <c r="I31">
        <v>4.0599999999999996</v>
      </c>
      <c r="J31" t="s">
        <v>181</v>
      </c>
      <c r="K31">
        <v>1</v>
      </c>
      <c r="L31">
        <v>3</v>
      </c>
      <c r="M31">
        <v>16</v>
      </c>
      <c r="N31">
        <v>19</v>
      </c>
      <c r="O31">
        <v>26</v>
      </c>
      <c r="P31">
        <v>768</v>
      </c>
      <c r="Q31" t="s">
        <v>175</v>
      </c>
    </row>
    <row r="32" spans="1:17" x14ac:dyDescent="0.35">
      <c r="A32">
        <v>31</v>
      </c>
      <c r="B32" t="s">
        <v>75</v>
      </c>
      <c r="C32" t="s">
        <v>36</v>
      </c>
      <c r="D32" t="s">
        <v>50</v>
      </c>
      <c r="E32" t="s">
        <v>19</v>
      </c>
      <c r="F32">
        <v>41</v>
      </c>
      <c r="G32" s="1">
        <v>44312</v>
      </c>
      <c r="H32">
        <v>13324</v>
      </c>
      <c r="I32">
        <v>3.25</v>
      </c>
      <c r="J32" t="s">
        <v>179</v>
      </c>
      <c r="K32">
        <v>5</v>
      </c>
      <c r="L32">
        <v>1</v>
      </c>
      <c r="M32">
        <v>9</v>
      </c>
      <c r="N32">
        <v>18</v>
      </c>
      <c r="O32">
        <v>13</v>
      </c>
      <c r="P32">
        <v>980</v>
      </c>
      <c r="Q32" t="s">
        <v>175</v>
      </c>
    </row>
    <row r="33" spans="1:17" x14ac:dyDescent="0.35">
      <c r="A33">
        <v>32</v>
      </c>
      <c r="B33" t="s">
        <v>76</v>
      </c>
      <c r="C33" t="s">
        <v>21</v>
      </c>
      <c r="D33" t="s">
        <v>63</v>
      </c>
      <c r="E33" t="s">
        <v>19</v>
      </c>
      <c r="F33">
        <v>38</v>
      </c>
      <c r="G33" s="1">
        <v>45585</v>
      </c>
      <c r="H33">
        <v>11752</v>
      </c>
      <c r="I33">
        <v>4.4800000000000004</v>
      </c>
      <c r="J33" t="s">
        <v>181</v>
      </c>
      <c r="K33">
        <v>2</v>
      </c>
      <c r="L33">
        <v>1</v>
      </c>
      <c r="M33">
        <v>9</v>
      </c>
      <c r="N33">
        <v>32</v>
      </c>
      <c r="O33">
        <v>40</v>
      </c>
      <c r="P33">
        <v>1368</v>
      </c>
      <c r="Q33" t="s">
        <v>177</v>
      </c>
    </row>
    <row r="34" spans="1:17" x14ac:dyDescent="0.35">
      <c r="A34">
        <v>33</v>
      </c>
      <c r="B34" t="s">
        <v>77</v>
      </c>
      <c r="C34" t="s">
        <v>29</v>
      </c>
      <c r="D34" t="s">
        <v>68</v>
      </c>
      <c r="E34" t="s">
        <v>19</v>
      </c>
      <c r="F34">
        <v>26</v>
      </c>
      <c r="G34" s="1">
        <v>43483</v>
      </c>
      <c r="H34">
        <v>4400</v>
      </c>
      <c r="I34">
        <v>2.62</v>
      </c>
      <c r="J34" t="s">
        <v>193</v>
      </c>
      <c r="K34">
        <v>4</v>
      </c>
      <c r="L34">
        <v>5</v>
      </c>
      <c r="M34">
        <v>2</v>
      </c>
      <c r="N34">
        <v>29</v>
      </c>
      <c r="O34">
        <v>26</v>
      </c>
      <c r="P34">
        <v>1914</v>
      </c>
      <c r="Q34" t="s">
        <v>176</v>
      </c>
    </row>
    <row r="35" spans="1:17" x14ac:dyDescent="0.35">
      <c r="A35">
        <v>34</v>
      </c>
      <c r="B35" t="s">
        <v>33</v>
      </c>
      <c r="C35" t="s">
        <v>17</v>
      </c>
      <c r="D35" t="s">
        <v>71</v>
      </c>
      <c r="E35" t="s">
        <v>19</v>
      </c>
      <c r="F35">
        <v>26</v>
      </c>
      <c r="G35" s="1">
        <v>45458</v>
      </c>
      <c r="H35">
        <v>14748</v>
      </c>
      <c r="I35">
        <v>4.22</v>
      </c>
      <c r="J35" t="s">
        <v>181</v>
      </c>
      <c r="K35">
        <v>1</v>
      </c>
      <c r="L35">
        <v>4</v>
      </c>
      <c r="M35">
        <v>7</v>
      </c>
      <c r="N35">
        <v>11</v>
      </c>
      <c r="O35">
        <v>33</v>
      </c>
      <c r="P35">
        <v>1051</v>
      </c>
      <c r="Q35" t="s">
        <v>177</v>
      </c>
    </row>
    <row r="36" spans="1:17" x14ac:dyDescent="0.35">
      <c r="A36">
        <v>35</v>
      </c>
      <c r="B36" t="s">
        <v>60</v>
      </c>
      <c r="C36" t="s">
        <v>39</v>
      </c>
      <c r="D36" t="s">
        <v>61</v>
      </c>
      <c r="E36" t="s">
        <v>23</v>
      </c>
      <c r="F36">
        <v>46</v>
      </c>
      <c r="G36" s="1">
        <v>45384</v>
      </c>
      <c r="H36">
        <v>11251</v>
      </c>
      <c r="I36">
        <v>4.03</v>
      </c>
      <c r="J36" t="s">
        <v>181</v>
      </c>
      <c r="K36">
        <v>5</v>
      </c>
      <c r="L36">
        <v>4</v>
      </c>
      <c r="M36">
        <v>17</v>
      </c>
      <c r="N36">
        <v>28</v>
      </c>
      <c r="O36">
        <v>10</v>
      </c>
      <c r="P36">
        <v>1623</v>
      </c>
      <c r="Q36" t="s">
        <v>176</v>
      </c>
    </row>
    <row r="37" spans="1:17" x14ac:dyDescent="0.35">
      <c r="A37">
        <v>36</v>
      </c>
      <c r="B37" t="s">
        <v>77</v>
      </c>
      <c r="C37" t="s">
        <v>36</v>
      </c>
      <c r="D37" t="s">
        <v>50</v>
      </c>
      <c r="E37" t="s">
        <v>19</v>
      </c>
      <c r="F37">
        <v>30</v>
      </c>
      <c r="G37" s="1">
        <v>44944</v>
      </c>
      <c r="H37">
        <v>11206</v>
      </c>
      <c r="I37">
        <v>2.69</v>
      </c>
      <c r="J37" t="s">
        <v>193</v>
      </c>
      <c r="K37">
        <v>3</v>
      </c>
      <c r="L37">
        <v>2</v>
      </c>
      <c r="M37">
        <v>8</v>
      </c>
      <c r="N37">
        <v>21</v>
      </c>
      <c r="O37">
        <v>20</v>
      </c>
      <c r="P37">
        <v>1928</v>
      </c>
      <c r="Q37" t="s">
        <v>176</v>
      </c>
    </row>
    <row r="38" spans="1:17" x14ac:dyDescent="0.35">
      <c r="A38">
        <v>37</v>
      </c>
      <c r="B38" t="s">
        <v>78</v>
      </c>
      <c r="C38" t="s">
        <v>21</v>
      </c>
      <c r="D38" t="s">
        <v>22</v>
      </c>
      <c r="E38" t="s">
        <v>19</v>
      </c>
      <c r="F38">
        <v>35</v>
      </c>
      <c r="G38" s="1">
        <v>43431</v>
      </c>
      <c r="H38">
        <v>10678</v>
      </c>
      <c r="I38">
        <v>3.33</v>
      </c>
      <c r="J38" t="s">
        <v>179</v>
      </c>
      <c r="K38">
        <v>4</v>
      </c>
      <c r="L38">
        <v>4</v>
      </c>
      <c r="M38">
        <v>1</v>
      </c>
      <c r="N38">
        <v>13</v>
      </c>
      <c r="O38">
        <v>26</v>
      </c>
      <c r="P38">
        <v>897</v>
      </c>
      <c r="Q38" t="s">
        <v>175</v>
      </c>
    </row>
    <row r="39" spans="1:17" x14ac:dyDescent="0.35">
      <c r="A39">
        <v>38</v>
      </c>
      <c r="B39" t="s">
        <v>79</v>
      </c>
      <c r="C39" t="s">
        <v>21</v>
      </c>
      <c r="D39" t="s">
        <v>63</v>
      </c>
      <c r="E39" t="s">
        <v>19</v>
      </c>
      <c r="F39">
        <v>33</v>
      </c>
      <c r="G39" s="1">
        <v>43181</v>
      </c>
      <c r="H39">
        <v>8892</v>
      </c>
      <c r="I39">
        <v>4.38</v>
      </c>
      <c r="J39" t="s">
        <v>181</v>
      </c>
      <c r="K39">
        <v>4</v>
      </c>
      <c r="L39">
        <v>5</v>
      </c>
      <c r="M39">
        <v>17</v>
      </c>
      <c r="N39">
        <v>51</v>
      </c>
      <c r="O39">
        <v>38</v>
      </c>
      <c r="P39">
        <v>1938</v>
      </c>
      <c r="Q39" t="s">
        <v>176</v>
      </c>
    </row>
    <row r="40" spans="1:17" x14ac:dyDescent="0.35">
      <c r="A40">
        <v>39</v>
      </c>
      <c r="B40" t="s">
        <v>54</v>
      </c>
      <c r="C40" t="s">
        <v>25</v>
      </c>
      <c r="D40" t="s">
        <v>26</v>
      </c>
      <c r="E40" t="s">
        <v>23</v>
      </c>
      <c r="F40">
        <v>43</v>
      </c>
      <c r="G40" s="1">
        <v>45100</v>
      </c>
      <c r="H40">
        <v>10624</v>
      </c>
      <c r="I40">
        <v>4.3099999999999996</v>
      </c>
      <c r="J40" t="s">
        <v>181</v>
      </c>
      <c r="K40">
        <v>4</v>
      </c>
      <c r="L40">
        <v>2</v>
      </c>
      <c r="M40">
        <v>19</v>
      </c>
      <c r="N40">
        <v>34</v>
      </c>
      <c r="O40">
        <v>1</v>
      </c>
      <c r="P40">
        <v>1957</v>
      </c>
      <c r="Q40" t="s">
        <v>176</v>
      </c>
    </row>
    <row r="41" spans="1:17" x14ac:dyDescent="0.35">
      <c r="A41">
        <v>40</v>
      </c>
      <c r="B41" t="s">
        <v>80</v>
      </c>
      <c r="C41" t="s">
        <v>36</v>
      </c>
      <c r="D41" t="s">
        <v>50</v>
      </c>
      <c r="E41" t="s">
        <v>19</v>
      </c>
      <c r="F41">
        <v>49</v>
      </c>
      <c r="G41" s="1">
        <v>45525</v>
      </c>
      <c r="H41">
        <v>11564</v>
      </c>
      <c r="I41">
        <v>2.95</v>
      </c>
      <c r="J41" t="s">
        <v>179</v>
      </c>
      <c r="K41">
        <v>3</v>
      </c>
      <c r="L41">
        <v>4</v>
      </c>
      <c r="M41">
        <v>10</v>
      </c>
      <c r="N41">
        <v>13</v>
      </c>
      <c r="O41">
        <v>29</v>
      </c>
      <c r="P41">
        <v>769</v>
      </c>
      <c r="Q41" t="s">
        <v>175</v>
      </c>
    </row>
    <row r="42" spans="1:17" x14ac:dyDescent="0.35">
      <c r="A42">
        <v>41</v>
      </c>
      <c r="B42" t="s">
        <v>52</v>
      </c>
      <c r="C42" t="s">
        <v>29</v>
      </c>
      <c r="D42" t="s">
        <v>68</v>
      </c>
      <c r="E42" t="s">
        <v>23</v>
      </c>
      <c r="F42">
        <v>22</v>
      </c>
      <c r="G42" s="1">
        <v>44653</v>
      </c>
      <c r="H42">
        <v>12837</v>
      </c>
      <c r="I42">
        <v>2.63</v>
      </c>
      <c r="J42" t="s">
        <v>193</v>
      </c>
      <c r="K42">
        <v>3</v>
      </c>
      <c r="L42">
        <v>2</v>
      </c>
      <c r="M42">
        <v>20</v>
      </c>
      <c r="N42">
        <v>4</v>
      </c>
      <c r="O42">
        <v>2</v>
      </c>
      <c r="P42">
        <v>1644</v>
      </c>
      <c r="Q42" t="s">
        <v>176</v>
      </c>
    </row>
    <row r="43" spans="1:17" x14ac:dyDescent="0.35">
      <c r="A43">
        <v>42</v>
      </c>
      <c r="B43" t="s">
        <v>81</v>
      </c>
      <c r="C43" t="s">
        <v>39</v>
      </c>
      <c r="D43" t="s">
        <v>56</v>
      </c>
      <c r="E43" t="s">
        <v>19</v>
      </c>
      <c r="F43">
        <v>37</v>
      </c>
      <c r="G43" s="1">
        <v>44113</v>
      </c>
      <c r="H43">
        <v>14968</v>
      </c>
      <c r="I43">
        <v>2.79</v>
      </c>
      <c r="J43" t="s">
        <v>179</v>
      </c>
      <c r="K43">
        <v>2</v>
      </c>
      <c r="L43">
        <v>4</v>
      </c>
      <c r="M43">
        <v>8</v>
      </c>
      <c r="N43">
        <v>49</v>
      </c>
      <c r="O43">
        <v>23</v>
      </c>
      <c r="P43">
        <v>443</v>
      </c>
      <c r="Q43" t="s">
        <v>175</v>
      </c>
    </row>
    <row r="44" spans="1:17" x14ac:dyDescent="0.35">
      <c r="A44">
        <v>43</v>
      </c>
      <c r="B44" t="s">
        <v>82</v>
      </c>
      <c r="C44" t="s">
        <v>21</v>
      </c>
      <c r="D44" t="s">
        <v>63</v>
      </c>
      <c r="E44" t="s">
        <v>19</v>
      </c>
      <c r="F44">
        <v>40</v>
      </c>
      <c r="G44" s="1">
        <v>45588</v>
      </c>
      <c r="H44">
        <v>4420</v>
      </c>
      <c r="I44">
        <v>4.82</v>
      </c>
      <c r="J44" t="s">
        <v>180</v>
      </c>
      <c r="K44">
        <v>5</v>
      </c>
      <c r="L44">
        <v>4</v>
      </c>
      <c r="M44">
        <v>12</v>
      </c>
      <c r="N44">
        <v>60</v>
      </c>
      <c r="O44">
        <v>12</v>
      </c>
      <c r="P44">
        <v>255</v>
      </c>
      <c r="Q44" t="s">
        <v>175</v>
      </c>
    </row>
    <row r="45" spans="1:17" x14ac:dyDescent="0.35">
      <c r="A45">
        <v>44</v>
      </c>
      <c r="B45" t="s">
        <v>83</v>
      </c>
      <c r="C45" t="s">
        <v>21</v>
      </c>
      <c r="D45" t="s">
        <v>22</v>
      </c>
      <c r="E45" t="s">
        <v>23</v>
      </c>
      <c r="F45">
        <v>39</v>
      </c>
      <c r="G45" s="1">
        <v>44095</v>
      </c>
      <c r="H45">
        <v>11018</v>
      </c>
      <c r="I45">
        <v>4.1500000000000004</v>
      </c>
      <c r="J45" t="s">
        <v>181</v>
      </c>
      <c r="K45">
        <v>1</v>
      </c>
      <c r="L45">
        <v>5</v>
      </c>
      <c r="M45">
        <v>20</v>
      </c>
      <c r="N45">
        <v>21</v>
      </c>
      <c r="O45">
        <v>0</v>
      </c>
      <c r="P45">
        <v>1839</v>
      </c>
      <c r="Q45" t="s">
        <v>176</v>
      </c>
    </row>
    <row r="46" spans="1:17" x14ac:dyDescent="0.35">
      <c r="A46">
        <v>45</v>
      </c>
      <c r="B46" t="s">
        <v>60</v>
      </c>
      <c r="C46" t="s">
        <v>36</v>
      </c>
      <c r="D46" t="s">
        <v>50</v>
      </c>
      <c r="E46" t="s">
        <v>19</v>
      </c>
      <c r="F46">
        <v>45</v>
      </c>
      <c r="G46" s="1">
        <v>45108</v>
      </c>
      <c r="H46">
        <v>12548</v>
      </c>
      <c r="I46">
        <v>4.91</v>
      </c>
      <c r="J46" t="s">
        <v>180</v>
      </c>
      <c r="K46">
        <v>3</v>
      </c>
      <c r="L46">
        <v>5</v>
      </c>
      <c r="M46">
        <v>17</v>
      </c>
      <c r="N46">
        <v>49</v>
      </c>
      <c r="O46">
        <v>30</v>
      </c>
      <c r="P46">
        <v>1052</v>
      </c>
      <c r="Q46" t="s">
        <v>177</v>
      </c>
    </row>
    <row r="47" spans="1:17" x14ac:dyDescent="0.35">
      <c r="A47">
        <v>46</v>
      </c>
      <c r="B47" t="s">
        <v>84</v>
      </c>
      <c r="C47" t="s">
        <v>36</v>
      </c>
      <c r="D47" t="s">
        <v>50</v>
      </c>
      <c r="E47" t="s">
        <v>23</v>
      </c>
      <c r="F47">
        <v>29</v>
      </c>
      <c r="G47" s="1">
        <v>45527</v>
      </c>
      <c r="H47">
        <v>11613</v>
      </c>
      <c r="I47">
        <v>3.92</v>
      </c>
      <c r="J47" t="s">
        <v>181</v>
      </c>
      <c r="K47">
        <v>4</v>
      </c>
      <c r="L47">
        <v>3</v>
      </c>
      <c r="M47">
        <v>0</v>
      </c>
      <c r="N47">
        <v>31</v>
      </c>
      <c r="O47">
        <v>20</v>
      </c>
      <c r="P47">
        <v>472</v>
      </c>
      <c r="Q47" t="s">
        <v>175</v>
      </c>
    </row>
    <row r="48" spans="1:17" x14ac:dyDescent="0.35">
      <c r="A48">
        <v>47</v>
      </c>
      <c r="B48" t="s">
        <v>85</v>
      </c>
      <c r="C48" t="s">
        <v>36</v>
      </c>
      <c r="D48" t="s">
        <v>50</v>
      </c>
      <c r="E48" t="s">
        <v>23</v>
      </c>
      <c r="F48">
        <v>39</v>
      </c>
      <c r="G48" s="1">
        <v>43969</v>
      </c>
      <c r="H48">
        <v>4166</v>
      </c>
      <c r="I48">
        <v>3.79</v>
      </c>
      <c r="J48" t="s">
        <v>181</v>
      </c>
      <c r="K48">
        <v>2</v>
      </c>
      <c r="L48">
        <v>1</v>
      </c>
      <c r="M48">
        <v>7</v>
      </c>
      <c r="N48">
        <v>46</v>
      </c>
      <c r="O48">
        <v>26</v>
      </c>
      <c r="P48">
        <v>1100</v>
      </c>
      <c r="Q48" t="s">
        <v>177</v>
      </c>
    </row>
    <row r="49" spans="1:17" x14ac:dyDescent="0.35">
      <c r="A49">
        <v>48</v>
      </c>
      <c r="B49" t="s">
        <v>86</v>
      </c>
      <c r="C49" t="s">
        <v>21</v>
      </c>
      <c r="D49" t="s">
        <v>22</v>
      </c>
      <c r="E49" t="s">
        <v>19</v>
      </c>
      <c r="F49">
        <v>31</v>
      </c>
      <c r="G49" s="1">
        <v>44085</v>
      </c>
      <c r="H49">
        <v>7630</v>
      </c>
      <c r="I49">
        <v>3.51</v>
      </c>
      <c r="J49" t="s">
        <v>181</v>
      </c>
      <c r="K49">
        <v>2</v>
      </c>
      <c r="L49">
        <v>3</v>
      </c>
      <c r="M49">
        <v>18</v>
      </c>
      <c r="N49">
        <v>23</v>
      </c>
      <c r="O49">
        <v>30</v>
      </c>
      <c r="P49">
        <v>1233</v>
      </c>
      <c r="Q49" t="s">
        <v>177</v>
      </c>
    </row>
    <row r="50" spans="1:17" x14ac:dyDescent="0.35">
      <c r="A50">
        <v>49</v>
      </c>
      <c r="B50" t="s">
        <v>87</v>
      </c>
      <c r="C50" t="s">
        <v>21</v>
      </c>
      <c r="D50" t="s">
        <v>63</v>
      </c>
      <c r="E50" t="s">
        <v>23</v>
      </c>
      <c r="F50">
        <v>30</v>
      </c>
      <c r="G50" s="1">
        <v>44509</v>
      </c>
      <c r="H50">
        <v>9023</v>
      </c>
      <c r="I50">
        <v>3.13</v>
      </c>
      <c r="J50" t="s">
        <v>179</v>
      </c>
      <c r="K50">
        <v>1</v>
      </c>
      <c r="L50">
        <v>2</v>
      </c>
      <c r="M50">
        <v>10</v>
      </c>
      <c r="N50">
        <v>7</v>
      </c>
      <c r="O50">
        <v>34</v>
      </c>
      <c r="P50">
        <v>1660</v>
      </c>
      <c r="Q50" t="s">
        <v>176</v>
      </c>
    </row>
    <row r="51" spans="1:17" x14ac:dyDescent="0.35">
      <c r="A51">
        <v>50</v>
      </c>
      <c r="B51" t="s">
        <v>88</v>
      </c>
      <c r="C51" t="s">
        <v>17</v>
      </c>
      <c r="D51" t="s">
        <v>71</v>
      </c>
      <c r="E51" t="s">
        <v>19</v>
      </c>
      <c r="F51">
        <v>48</v>
      </c>
      <c r="G51" s="1">
        <v>43859</v>
      </c>
      <c r="H51">
        <v>7180</v>
      </c>
      <c r="I51">
        <v>3.24</v>
      </c>
      <c r="J51" t="s">
        <v>179</v>
      </c>
      <c r="K51">
        <v>3</v>
      </c>
      <c r="L51">
        <v>2</v>
      </c>
      <c r="M51">
        <v>9</v>
      </c>
      <c r="N51">
        <v>0</v>
      </c>
      <c r="O51">
        <v>34</v>
      </c>
      <c r="P51">
        <v>359</v>
      </c>
      <c r="Q51" t="s">
        <v>175</v>
      </c>
    </row>
    <row r="52" spans="1:17" x14ac:dyDescent="0.35">
      <c r="A52">
        <v>51</v>
      </c>
      <c r="B52" t="s">
        <v>89</v>
      </c>
      <c r="C52" t="s">
        <v>29</v>
      </c>
      <c r="D52" t="s">
        <v>68</v>
      </c>
      <c r="E52" t="s">
        <v>23</v>
      </c>
      <c r="F52">
        <v>25</v>
      </c>
      <c r="G52" s="1">
        <v>43287</v>
      </c>
      <c r="H52">
        <v>4200</v>
      </c>
      <c r="I52">
        <v>3.94</v>
      </c>
      <c r="J52" t="s">
        <v>181</v>
      </c>
      <c r="K52">
        <v>4</v>
      </c>
      <c r="L52">
        <v>4</v>
      </c>
      <c r="M52">
        <v>14</v>
      </c>
      <c r="N52">
        <v>21</v>
      </c>
      <c r="O52">
        <v>11</v>
      </c>
      <c r="P52">
        <v>205</v>
      </c>
      <c r="Q52" t="s">
        <v>175</v>
      </c>
    </row>
    <row r="53" spans="1:17" x14ac:dyDescent="0.35">
      <c r="A53">
        <v>52</v>
      </c>
      <c r="B53" t="s">
        <v>33</v>
      </c>
      <c r="C53" t="s">
        <v>29</v>
      </c>
      <c r="D53" t="s">
        <v>68</v>
      </c>
      <c r="E53" t="s">
        <v>19</v>
      </c>
      <c r="F53">
        <v>26</v>
      </c>
      <c r="G53" s="1">
        <v>45057</v>
      </c>
      <c r="H53">
        <v>6444</v>
      </c>
      <c r="I53">
        <v>4.53</v>
      </c>
      <c r="J53" t="s">
        <v>180</v>
      </c>
      <c r="K53">
        <v>3</v>
      </c>
      <c r="L53">
        <v>1</v>
      </c>
      <c r="M53">
        <v>7</v>
      </c>
      <c r="N53">
        <v>7</v>
      </c>
      <c r="O53">
        <v>35</v>
      </c>
      <c r="P53">
        <v>1665</v>
      </c>
      <c r="Q53" t="s">
        <v>176</v>
      </c>
    </row>
    <row r="54" spans="1:17" x14ac:dyDescent="0.35">
      <c r="A54">
        <v>53</v>
      </c>
      <c r="B54" t="s">
        <v>69</v>
      </c>
      <c r="C54" t="s">
        <v>36</v>
      </c>
      <c r="D54" t="s">
        <v>50</v>
      </c>
      <c r="E54" t="s">
        <v>23</v>
      </c>
      <c r="F54">
        <v>36</v>
      </c>
      <c r="G54" s="1">
        <v>45584</v>
      </c>
      <c r="H54">
        <v>8871</v>
      </c>
      <c r="I54">
        <v>4.6500000000000004</v>
      </c>
      <c r="J54" t="s">
        <v>180</v>
      </c>
      <c r="K54">
        <v>4</v>
      </c>
      <c r="L54">
        <v>3</v>
      </c>
      <c r="M54">
        <v>18</v>
      </c>
      <c r="N54">
        <v>39</v>
      </c>
      <c r="O54">
        <v>3</v>
      </c>
      <c r="P54">
        <v>1348</v>
      </c>
      <c r="Q54" t="s">
        <v>177</v>
      </c>
    </row>
    <row r="55" spans="1:17" x14ac:dyDescent="0.35">
      <c r="A55">
        <v>54</v>
      </c>
      <c r="B55" t="s">
        <v>90</v>
      </c>
      <c r="C55" t="s">
        <v>17</v>
      </c>
      <c r="D55" t="s">
        <v>71</v>
      </c>
      <c r="E55" t="s">
        <v>19</v>
      </c>
      <c r="F55">
        <v>27</v>
      </c>
      <c r="G55" s="1">
        <v>43507</v>
      </c>
      <c r="H55">
        <v>7929</v>
      </c>
      <c r="I55">
        <v>2.93</v>
      </c>
      <c r="J55" t="s">
        <v>179</v>
      </c>
      <c r="K55">
        <v>1</v>
      </c>
      <c r="L55">
        <v>2</v>
      </c>
      <c r="M55">
        <v>0</v>
      </c>
      <c r="N55">
        <v>26</v>
      </c>
      <c r="O55">
        <v>28</v>
      </c>
      <c r="P55">
        <v>1511</v>
      </c>
      <c r="Q55" t="s">
        <v>176</v>
      </c>
    </row>
    <row r="56" spans="1:17" x14ac:dyDescent="0.35">
      <c r="A56">
        <v>55</v>
      </c>
      <c r="B56" t="s">
        <v>77</v>
      </c>
      <c r="C56" t="s">
        <v>21</v>
      </c>
      <c r="D56" t="s">
        <v>63</v>
      </c>
      <c r="E56" t="s">
        <v>23</v>
      </c>
      <c r="F56">
        <v>24</v>
      </c>
      <c r="G56" s="1">
        <v>45025</v>
      </c>
      <c r="H56">
        <v>7824</v>
      </c>
      <c r="I56">
        <v>4.8099999999999996</v>
      </c>
      <c r="J56" t="s">
        <v>180</v>
      </c>
      <c r="K56">
        <v>5</v>
      </c>
      <c r="L56">
        <v>2</v>
      </c>
      <c r="M56">
        <v>13</v>
      </c>
      <c r="N56">
        <v>7</v>
      </c>
      <c r="O56">
        <v>34</v>
      </c>
      <c r="P56">
        <v>560</v>
      </c>
      <c r="Q56" t="s">
        <v>175</v>
      </c>
    </row>
    <row r="57" spans="1:17" x14ac:dyDescent="0.35">
      <c r="A57">
        <v>56</v>
      </c>
      <c r="B57" t="s">
        <v>91</v>
      </c>
      <c r="C57" t="s">
        <v>17</v>
      </c>
      <c r="D57" t="s">
        <v>18</v>
      </c>
      <c r="E57" t="s">
        <v>19</v>
      </c>
      <c r="F57">
        <v>47</v>
      </c>
      <c r="G57" s="1">
        <v>43711</v>
      </c>
      <c r="H57">
        <v>9039</v>
      </c>
      <c r="I57">
        <v>3.99</v>
      </c>
      <c r="J57" t="s">
        <v>181</v>
      </c>
      <c r="K57">
        <v>5</v>
      </c>
      <c r="L57">
        <v>3</v>
      </c>
      <c r="M57">
        <v>14</v>
      </c>
      <c r="N57">
        <v>7</v>
      </c>
      <c r="O57">
        <v>29</v>
      </c>
      <c r="P57">
        <v>1510</v>
      </c>
      <c r="Q57" t="s">
        <v>176</v>
      </c>
    </row>
    <row r="58" spans="1:17" x14ac:dyDescent="0.35">
      <c r="A58">
        <v>57</v>
      </c>
      <c r="B58" t="s">
        <v>92</v>
      </c>
      <c r="C58" t="s">
        <v>29</v>
      </c>
      <c r="D58" t="s">
        <v>30</v>
      </c>
      <c r="E58" t="s">
        <v>23</v>
      </c>
      <c r="F58">
        <v>24</v>
      </c>
      <c r="G58" s="1">
        <v>44749</v>
      </c>
      <c r="H58">
        <v>13798</v>
      </c>
      <c r="I58">
        <v>2.6</v>
      </c>
      <c r="J58" t="s">
        <v>193</v>
      </c>
      <c r="K58">
        <v>4</v>
      </c>
      <c r="L58">
        <v>3</v>
      </c>
      <c r="M58">
        <v>19</v>
      </c>
      <c r="N58">
        <v>16</v>
      </c>
      <c r="O58">
        <v>1</v>
      </c>
      <c r="P58">
        <v>287</v>
      </c>
      <c r="Q58" t="s">
        <v>175</v>
      </c>
    </row>
    <row r="59" spans="1:17" x14ac:dyDescent="0.35">
      <c r="A59">
        <v>58</v>
      </c>
      <c r="B59" t="s">
        <v>93</v>
      </c>
      <c r="C59" t="s">
        <v>25</v>
      </c>
      <c r="D59" t="s">
        <v>44</v>
      </c>
      <c r="E59" t="s">
        <v>19</v>
      </c>
      <c r="F59">
        <v>46</v>
      </c>
      <c r="G59" s="1">
        <v>45457</v>
      </c>
      <c r="H59">
        <v>6870</v>
      </c>
      <c r="I59">
        <v>3.68</v>
      </c>
      <c r="J59" t="s">
        <v>181</v>
      </c>
      <c r="K59">
        <v>4</v>
      </c>
      <c r="L59">
        <v>3</v>
      </c>
      <c r="M59">
        <v>5</v>
      </c>
      <c r="N59">
        <v>37</v>
      </c>
      <c r="O59">
        <v>27</v>
      </c>
      <c r="P59">
        <v>1400</v>
      </c>
      <c r="Q59" t="s">
        <v>177</v>
      </c>
    </row>
    <row r="60" spans="1:17" x14ac:dyDescent="0.35">
      <c r="A60">
        <v>59</v>
      </c>
      <c r="B60" t="s">
        <v>59</v>
      </c>
      <c r="C60" t="s">
        <v>36</v>
      </c>
      <c r="D60" t="s">
        <v>50</v>
      </c>
      <c r="E60" t="s">
        <v>19</v>
      </c>
      <c r="F60">
        <v>49</v>
      </c>
      <c r="G60" s="1">
        <v>43474</v>
      </c>
      <c r="H60">
        <v>6634</v>
      </c>
      <c r="I60">
        <v>3.32</v>
      </c>
      <c r="J60" t="s">
        <v>179</v>
      </c>
      <c r="K60">
        <v>4</v>
      </c>
      <c r="L60">
        <v>3</v>
      </c>
      <c r="M60">
        <v>12</v>
      </c>
      <c r="N60">
        <v>52</v>
      </c>
      <c r="O60">
        <v>35</v>
      </c>
      <c r="P60">
        <v>175</v>
      </c>
      <c r="Q60" t="s">
        <v>175</v>
      </c>
    </row>
    <row r="61" spans="1:17" x14ac:dyDescent="0.35">
      <c r="A61">
        <v>60</v>
      </c>
      <c r="B61" t="s">
        <v>58</v>
      </c>
      <c r="C61" t="s">
        <v>36</v>
      </c>
      <c r="D61" t="s">
        <v>50</v>
      </c>
      <c r="E61" t="s">
        <v>19</v>
      </c>
      <c r="F61">
        <v>43</v>
      </c>
      <c r="G61" s="1">
        <v>43461</v>
      </c>
      <c r="H61">
        <v>12889</v>
      </c>
      <c r="I61">
        <v>3.65</v>
      </c>
      <c r="J61" t="s">
        <v>181</v>
      </c>
      <c r="K61">
        <v>1</v>
      </c>
      <c r="L61">
        <v>2</v>
      </c>
      <c r="M61">
        <v>16</v>
      </c>
      <c r="N61">
        <v>23</v>
      </c>
      <c r="O61">
        <v>39</v>
      </c>
      <c r="P61">
        <v>1649</v>
      </c>
      <c r="Q61" t="s">
        <v>176</v>
      </c>
    </row>
    <row r="62" spans="1:17" x14ac:dyDescent="0.35">
      <c r="A62">
        <v>61</v>
      </c>
      <c r="B62" t="s">
        <v>48</v>
      </c>
      <c r="C62" t="s">
        <v>36</v>
      </c>
      <c r="D62" t="s">
        <v>37</v>
      </c>
      <c r="E62" t="s">
        <v>23</v>
      </c>
      <c r="F62">
        <v>36</v>
      </c>
      <c r="G62" s="1">
        <v>44911</v>
      </c>
      <c r="H62">
        <v>11941</v>
      </c>
      <c r="I62">
        <v>2.8</v>
      </c>
      <c r="J62" t="s">
        <v>179</v>
      </c>
      <c r="K62">
        <v>5</v>
      </c>
      <c r="L62">
        <v>2</v>
      </c>
      <c r="M62">
        <v>5</v>
      </c>
      <c r="N62">
        <v>19</v>
      </c>
      <c r="O62">
        <v>35</v>
      </c>
      <c r="P62">
        <v>128</v>
      </c>
      <c r="Q62" t="s">
        <v>175</v>
      </c>
    </row>
    <row r="63" spans="1:17" x14ac:dyDescent="0.35">
      <c r="A63">
        <v>62</v>
      </c>
      <c r="B63" t="s">
        <v>94</v>
      </c>
      <c r="C63" t="s">
        <v>21</v>
      </c>
      <c r="D63" t="s">
        <v>22</v>
      </c>
      <c r="E63" t="s">
        <v>23</v>
      </c>
      <c r="F63">
        <v>44</v>
      </c>
      <c r="G63" s="1">
        <v>44772</v>
      </c>
      <c r="H63">
        <v>8781</v>
      </c>
      <c r="I63">
        <v>3.77</v>
      </c>
      <c r="J63" t="s">
        <v>181</v>
      </c>
      <c r="K63">
        <v>3</v>
      </c>
      <c r="L63">
        <v>4</v>
      </c>
      <c r="M63">
        <v>15</v>
      </c>
      <c r="N63">
        <v>30</v>
      </c>
      <c r="O63">
        <v>15</v>
      </c>
      <c r="P63">
        <v>1035</v>
      </c>
      <c r="Q63" t="s">
        <v>177</v>
      </c>
    </row>
    <row r="64" spans="1:17" x14ac:dyDescent="0.35">
      <c r="A64">
        <v>63</v>
      </c>
      <c r="B64" t="s">
        <v>42</v>
      </c>
      <c r="C64" t="s">
        <v>21</v>
      </c>
      <c r="D64" t="s">
        <v>22</v>
      </c>
      <c r="E64" t="s">
        <v>19</v>
      </c>
      <c r="F64">
        <v>30</v>
      </c>
      <c r="G64" s="1">
        <v>43693</v>
      </c>
      <c r="H64">
        <v>10798</v>
      </c>
      <c r="I64">
        <v>3.35</v>
      </c>
      <c r="J64" t="s">
        <v>179</v>
      </c>
      <c r="K64">
        <v>5</v>
      </c>
      <c r="L64">
        <v>3</v>
      </c>
      <c r="M64">
        <v>0</v>
      </c>
      <c r="N64">
        <v>18</v>
      </c>
      <c r="O64">
        <v>19</v>
      </c>
      <c r="P64">
        <v>1815</v>
      </c>
      <c r="Q64" t="s">
        <v>176</v>
      </c>
    </row>
    <row r="65" spans="1:17" x14ac:dyDescent="0.35">
      <c r="A65">
        <v>64</v>
      </c>
      <c r="B65" t="s">
        <v>95</v>
      </c>
      <c r="C65" t="s">
        <v>21</v>
      </c>
      <c r="D65" t="s">
        <v>63</v>
      </c>
      <c r="E65" t="s">
        <v>23</v>
      </c>
      <c r="F65">
        <v>33</v>
      </c>
      <c r="G65" s="1">
        <v>45476</v>
      </c>
      <c r="H65">
        <v>9446</v>
      </c>
      <c r="I65">
        <v>3.88</v>
      </c>
      <c r="J65" t="s">
        <v>181</v>
      </c>
      <c r="K65">
        <v>5</v>
      </c>
      <c r="L65">
        <v>4</v>
      </c>
      <c r="M65">
        <v>14</v>
      </c>
      <c r="N65">
        <v>59</v>
      </c>
      <c r="O65">
        <v>20</v>
      </c>
      <c r="P65">
        <v>1880</v>
      </c>
      <c r="Q65" t="s">
        <v>176</v>
      </c>
    </row>
    <row r="66" spans="1:17" x14ac:dyDescent="0.35">
      <c r="A66">
        <v>65</v>
      </c>
      <c r="B66" t="s">
        <v>96</v>
      </c>
      <c r="C66" t="s">
        <v>25</v>
      </c>
      <c r="D66" t="s">
        <v>32</v>
      </c>
      <c r="E66" t="s">
        <v>23</v>
      </c>
      <c r="F66">
        <v>45</v>
      </c>
      <c r="G66" s="1">
        <v>44079</v>
      </c>
      <c r="H66">
        <v>11749</v>
      </c>
      <c r="I66">
        <v>4.26</v>
      </c>
      <c r="J66" t="s">
        <v>181</v>
      </c>
      <c r="K66">
        <v>4</v>
      </c>
      <c r="L66">
        <v>4</v>
      </c>
      <c r="M66">
        <v>20</v>
      </c>
      <c r="N66">
        <v>9</v>
      </c>
      <c r="O66">
        <v>31</v>
      </c>
      <c r="P66">
        <v>175</v>
      </c>
      <c r="Q66" t="s">
        <v>175</v>
      </c>
    </row>
    <row r="67" spans="1:17" x14ac:dyDescent="0.35">
      <c r="A67">
        <v>66</v>
      </c>
      <c r="B67" t="s">
        <v>58</v>
      </c>
      <c r="C67" t="s">
        <v>25</v>
      </c>
      <c r="D67" t="s">
        <v>26</v>
      </c>
      <c r="E67" t="s">
        <v>19</v>
      </c>
      <c r="F67">
        <v>38</v>
      </c>
      <c r="G67" s="1">
        <v>45158</v>
      </c>
      <c r="H67">
        <v>11486</v>
      </c>
      <c r="I67">
        <v>2.54</v>
      </c>
      <c r="J67" t="s">
        <v>193</v>
      </c>
      <c r="K67">
        <v>2</v>
      </c>
      <c r="L67">
        <v>4</v>
      </c>
      <c r="M67">
        <v>20</v>
      </c>
      <c r="N67">
        <v>9</v>
      </c>
      <c r="O67">
        <v>4</v>
      </c>
      <c r="P67">
        <v>1061</v>
      </c>
      <c r="Q67" t="s">
        <v>177</v>
      </c>
    </row>
    <row r="68" spans="1:17" x14ac:dyDescent="0.35">
      <c r="A68">
        <v>67</v>
      </c>
      <c r="B68" t="s">
        <v>97</v>
      </c>
      <c r="C68" t="s">
        <v>29</v>
      </c>
      <c r="D68" t="s">
        <v>30</v>
      </c>
      <c r="E68" t="s">
        <v>23</v>
      </c>
      <c r="F68">
        <v>32</v>
      </c>
      <c r="G68" s="1">
        <v>44487</v>
      </c>
      <c r="H68">
        <v>14269</v>
      </c>
      <c r="I68">
        <v>4.3</v>
      </c>
      <c r="J68" t="s">
        <v>181</v>
      </c>
      <c r="K68">
        <v>4</v>
      </c>
      <c r="L68">
        <v>5</v>
      </c>
      <c r="M68">
        <v>1</v>
      </c>
      <c r="N68">
        <v>39</v>
      </c>
      <c r="O68">
        <v>4</v>
      </c>
      <c r="P68">
        <v>580</v>
      </c>
      <c r="Q68" t="s">
        <v>175</v>
      </c>
    </row>
    <row r="69" spans="1:17" x14ac:dyDescent="0.35">
      <c r="A69">
        <v>68</v>
      </c>
      <c r="B69" t="s">
        <v>98</v>
      </c>
      <c r="C69" t="s">
        <v>17</v>
      </c>
      <c r="D69" t="s">
        <v>18</v>
      </c>
      <c r="E69" t="s">
        <v>19</v>
      </c>
      <c r="F69">
        <v>36</v>
      </c>
      <c r="G69" s="1">
        <v>44278</v>
      </c>
      <c r="H69">
        <v>6725</v>
      </c>
      <c r="I69">
        <v>4.24</v>
      </c>
      <c r="J69" t="s">
        <v>181</v>
      </c>
      <c r="K69">
        <v>1</v>
      </c>
      <c r="L69">
        <v>1</v>
      </c>
      <c r="M69">
        <v>10</v>
      </c>
      <c r="N69">
        <v>50</v>
      </c>
      <c r="O69">
        <v>3</v>
      </c>
      <c r="P69">
        <v>700</v>
      </c>
      <c r="Q69" t="s">
        <v>175</v>
      </c>
    </row>
    <row r="70" spans="1:17" x14ac:dyDescent="0.35">
      <c r="A70">
        <v>69</v>
      </c>
      <c r="B70" t="s">
        <v>99</v>
      </c>
      <c r="C70" t="s">
        <v>29</v>
      </c>
      <c r="D70" t="s">
        <v>30</v>
      </c>
      <c r="E70" t="s">
        <v>19</v>
      </c>
      <c r="F70">
        <v>27</v>
      </c>
      <c r="G70" s="1">
        <v>44636</v>
      </c>
      <c r="H70">
        <v>6868</v>
      </c>
      <c r="I70">
        <v>2.7</v>
      </c>
      <c r="J70" t="s">
        <v>193</v>
      </c>
      <c r="K70">
        <v>4</v>
      </c>
      <c r="L70">
        <v>5</v>
      </c>
      <c r="M70">
        <v>7</v>
      </c>
      <c r="N70">
        <v>31</v>
      </c>
      <c r="O70">
        <v>37</v>
      </c>
      <c r="P70">
        <v>393</v>
      </c>
      <c r="Q70" t="s">
        <v>175</v>
      </c>
    </row>
    <row r="71" spans="1:17" x14ac:dyDescent="0.35">
      <c r="A71">
        <v>70</v>
      </c>
      <c r="B71" t="s">
        <v>100</v>
      </c>
      <c r="C71" t="s">
        <v>25</v>
      </c>
      <c r="D71" t="s">
        <v>44</v>
      </c>
      <c r="E71" t="s">
        <v>19</v>
      </c>
      <c r="F71">
        <v>50</v>
      </c>
      <c r="G71" s="1">
        <v>44989</v>
      </c>
      <c r="H71">
        <v>11622</v>
      </c>
      <c r="I71">
        <v>4.75</v>
      </c>
      <c r="J71" t="s">
        <v>180</v>
      </c>
      <c r="K71">
        <v>5</v>
      </c>
      <c r="L71">
        <v>2</v>
      </c>
      <c r="M71">
        <v>2</v>
      </c>
      <c r="N71">
        <v>28</v>
      </c>
      <c r="O71">
        <v>22</v>
      </c>
      <c r="P71">
        <v>1303</v>
      </c>
      <c r="Q71" t="s">
        <v>177</v>
      </c>
    </row>
    <row r="72" spans="1:17" x14ac:dyDescent="0.35">
      <c r="A72">
        <v>71</v>
      </c>
      <c r="B72" t="s">
        <v>100</v>
      </c>
      <c r="C72" t="s">
        <v>29</v>
      </c>
      <c r="D72" t="s">
        <v>68</v>
      </c>
      <c r="E72" t="s">
        <v>23</v>
      </c>
      <c r="F72">
        <v>49</v>
      </c>
      <c r="G72" s="1">
        <v>44838</v>
      </c>
      <c r="H72">
        <v>11916</v>
      </c>
      <c r="I72">
        <v>2.77</v>
      </c>
      <c r="J72" t="s">
        <v>179</v>
      </c>
      <c r="K72">
        <v>4</v>
      </c>
      <c r="L72">
        <v>5</v>
      </c>
      <c r="M72">
        <v>11</v>
      </c>
      <c r="N72">
        <v>36</v>
      </c>
      <c r="O72">
        <v>18</v>
      </c>
      <c r="P72">
        <v>1532</v>
      </c>
      <c r="Q72" t="s">
        <v>176</v>
      </c>
    </row>
    <row r="73" spans="1:17" x14ac:dyDescent="0.35">
      <c r="A73">
        <v>72</v>
      </c>
      <c r="B73" t="s">
        <v>101</v>
      </c>
      <c r="C73" t="s">
        <v>29</v>
      </c>
      <c r="D73" t="s">
        <v>68</v>
      </c>
      <c r="E73" t="s">
        <v>19</v>
      </c>
      <c r="F73">
        <v>41</v>
      </c>
      <c r="G73" s="1">
        <v>43190</v>
      </c>
      <c r="H73">
        <v>12138</v>
      </c>
      <c r="I73">
        <v>4.58</v>
      </c>
      <c r="J73" t="s">
        <v>180</v>
      </c>
      <c r="K73">
        <v>3</v>
      </c>
      <c r="L73">
        <v>2</v>
      </c>
      <c r="M73">
        <v>19</v>
      </c>
      <c r="N73">
        <v>51</v>
      </c>
      <c r="O73">
        <v>22</v>
      </c>
      <c r="P73">
        <v>548</v>
      </c>
      <c r="Q73" t="s">
        <v>175</v>
      </c>
    </row>
    <row r="74" spans="1:17" x14ac:dyDescent="0.35">
      <c r="A74">
        <v>73</v>
      </c>
      <c r="B74" t="s">
        <v>91</v>
      </c>
      <c r="C74" t="s">
        <v>17</v>
      </c>
      <c r="D74" t="s">
        <v>18</v>
      </c>
      <c r="E74" t="s">
        <v>23</v>
      </c>
      <c r="F74">
        <v>47</v>
      </c>
      <c r="G74" s="1">
        <v>43879</v>
      </c>
      <c r="H74">
        <v>11222</v>
      </c>
      <c r="I74">
        <v>2.58</v>
      </c>
      <c r="J74" t="s">
        <v>193</v>
      </c>
      <c r="K74">
        <v>3</v>
      </c>
      <c r="L74">
        <v>2</v>
      </c>
      <c r="M74">
        <v>2</v>
      </c>
      <c r="N74">
        <v>58</v>
      </c>
      <c r="O74">
        <v>18</v>
      </c>
      <c r="P74">
        <v>769</v>
      </c>
      <c r="Q74" t="s">
        <v>175</v>
      </c>
    </row>
    <row r="75" spans="1:17" x14ac:dyDescent="0.35">
      <c r="A75">
        <v>74</v>
      </c>
      <c r="B75" t="s">
        <v>87</v>
      </c>
      <c r="C75" t="s">
        <v>17</v>
      </c>
      <c r="D75" t="s">
        <v>71</v>
      </c>
      <c r="E75" t="s">
        <v>19</v>
      </c>
      <c r="F75">
        <v>30</v>
      </c>
      <c r="G75" s="1">
        <v>44802</v>
      </c>
      <c r="H75">
        <v>11894</v>
      </c>
      <c r="I75">
        <v>4.92</v>
      </c>
      <c r="J75" t="s">
        <v>180</v>
      </c>
      <c r="K75">
        <v>3</v>
      </c>
      <c r="L75">
        <v>3</v>
      </c>
      <c r="M75">
        <v>3</v>
      </c>
      <c r="N75">
        <v>29</v>
      </c>
      <c r="O75">
        <v>4</v>
      </c>
      <c r="P75">
        <v>388</v>
      </c>
      <c r="Q75" t="s">
        <v>175</v>
      </c>
    </row>
    <row r="76" spans="1:17" x14ac:dyDescent="0.35">
      <c r="A76">
        <v>75</v>
      </c>
      <c r="B76" t="s">
        <v>87</v>
      </c>
      <c r="C76" t="s">
        <v>25</v>
      </c>
      <c r="D76" t="s">
        <v>32</v>
      </c>
      <c r="E76" t="s">
        <v>23</v>
      </c>
      <c r="F76">
        <v>22</v>
      </c>
      <c r="G76" s="1">
        <v>44728</v>
      </c>
      <c r="H76">
        <v>8332</v>
      </c>
      <c r="I76">
        <v>3.84</v>
      </c>
      <c r="J76" t="s">
        <v>181</v>
      </c>
      <c r="K76">
        <v>4</v>
      </c>
      <c r="L76">
        <v>3</v>
      </c>
      <c r="M76">
        <v>8</v>
      </c>
      <c r="N76">
        <v>37</v>
      </c>
      <c r="O76">
        <v>24</v>
      </c>
      <c r="P76">
        <v>1784</v>
      </c>
      <c r="Q76" t="s">
        <v>176</v>
      </c>
    </row>
    <row r="77" spans="1:17" x14ac:dyDescent="0.35">
      <c r="A77">
        <v>76</v>
      </c>
      <c r="B77" t="s">
        <v>54</v>
      </c>
      <c r="C77" t="s">
        <v>17</v>
      </c>
      <c r="D77" t="s">
        <v>71</v>
      </c>
      <c r="E77" t="s">
        <v>19</v>
      </c>
      <c r="F77">
        <v>42</v>
      </c>
      <c r="G77" s="1">
        <v>44622</v>
      </c>
      <c r="H77">
        <v>5035</v>
      </c>
      <c r="I77">
        <v>4.09</v>
      </c>
      <c r="J77" t="s">
        <v>181</v>
      </c>
      <c r="K77">
        <v>4</v>
      </c>
      <c r="L77">
        <v>3</v>
      </c>
      <c r="M77">
        <v>20</v>
      </c>
      <c r="N77">
        <v>26</v>
      </c>
      <c r="O77">
        <v>7</v>
      </c>
      <c r="P77">
        <v>386</v>
      </c>
      <c r="Q77" t="s">
        <v>175</v>
      </c>
    </row>
    <row r="78" spans="1:17" x14ac:dyDescent="0.35">
      <c r="A78">
        <v>77</v>
      </c>
      <c r="B78" t="s">
        <v>102</v>
      </c>
      <c r="C78" t="s">
        <v>39</v>
      </c>
      <c r="D78" t="s">
        <v>40</v>
      </c>
      <c r="E78" t="s">
        <v>19</v>
      </c>
      <c r="F78">
        <v>50</v>
      </c>
      <c r="G78" s="1">
        <v>43253</v>
      </c>
      <c r="H78">
        <v>12807</v>
      </c>
      <c r="I78">
        <v>2.84</v>
      </c>
      <c r="J78" t="s">
        <v>179</v>
      </c>
      <c r="K78">
        <v>4</v>
      </c>
      <c r="L78">
        <v>3</v>
      </c>
      <c r="M78">
        <v>17</v>
      </c>
      <c r="N78">
        <v>26</v>
      </c>
      <c r="O78">
        <v>37</v>
      </c>
      <c r="P78">
        <v>1620</v>
      </c>
      <c r="Q78" t="s">
        <v>176</v>
      </c>
    </row>
    <row r="79" spans="1:17" x14ac:dyDescent="0.35">
      <c r="A79">
        <v>78</v>
      </c>
      <c r="B79" t="s">
        <v>103</v>
      </c>
      <c r="C79" t="s">
        <v>17</v>
      </c>
      <c r="D79" t="s">
        <v>71</v>
      </c>
      <c r="E79" t="s">
        <v>23</v>
      </c>
      <c r="F79">
        <v>23</v>
      </c>
      <c r="G79" s="1">
        <v>43733</v>
      </c>
      <c r="H79">
        <v>10070</v>
      </c>
      <c r="I79">
        <v>3.04</v>
      </c>
      <c r="J79" t="s">
        <v>179</v>
      </c>
      <c r="K79">
        <v>4</v>
      </c>
      <c r="L79">
        <v>2</v>
      </c>
      <c r="M79">
        <v>11</v>
      </c>
      <c r="N79">
        <v>6</v>
      </c>
      <c r="O79">
        <v>23</v>
      </c>
      <c r="P79">
        <v>1215</v>
      </c>
      <c r="Q79" t="s">
        <v>177</v>
      </c>
    </row>
    <row r="80" spans="1:17" x14ac:dyDescent="0.35">
      <c r="A80">
        <v>79</v>
      </c>
      <c r="B80" t="s">
        <v>104</v>
      </c>
      <c r="C80" t="s">
        <v>17</v>
      </c>
      <c r="D80" t="s">
        <v>71</v>
      </c>
      <c r="E80" t="s">
        <v>19</v>
      </c>
      <c r="F80">
        <v>43</v>
      </c>
      <c r="G80" s="1">
        <v>44570</v>
      </c>
      <c r="H80">
        <v>7475</v>
      </c>
      <c r="I80">
        <v>4.0999999999999996</v>
      </c>
      <c r="J80" t="s">
        <v>181</v>
      </c>
      <c r="K80">
        <v>5</v>
      </c>
      <c r="L80">
        <v>1</v>
      </c>
      <c r="M80">
        <v>1</v>
      </c>
      <c r="N80">
        <v>50</v>
      </c>
      <c r="O80">
        <v>21</v>
      </c>
      <c r="P80">
        <v>598</v>
      </c>
      <c r="Q80" t="s">
        <v>175</v>
      </c>
    </row>
    <row r="81" spans="1:17" x14ac:dyDescent="0.35">
      <c r="A81">
        <v>80</v>
      </c>
      <c r="B81" t="s">
        <v>105</v>
      </c>
      <c r="C81" t="s">
        <v>25</v>
      </c>
      <c r="D81" t="s">
        <v>32</v>
      </c>
      <c r="E81" t="s">
        <v>19</v>
      </c>
      <c r="F81">
        <v>32</v>
      </c>
      <c r="G81" s="1">
        <v>45413</v>
      </c>
      <c r="H81">
        <v>6417</v>
      </c>
      <c r="I81">
        <v>4.47</v>
      </c>
      <c r="J81" t="s">
        <v>181</v>
      </c>
      <c r="K81">
        <v>5</v>
      </c>
      <c r="L81">
        <v>1</v>
      </c>
      <c r="M81">
        <v>8</v>
      </c>
      <c r="N81">
        <v>54</v>
      </c>
      <c r="O81">
        <v>9</v>
      </c>
      <c r="P81">
        <v>366</v>
      </c>
      <c r="Q81" t="s">
        <v>175</v>
      </c>
    </row>
    <row r="82" spans="1:17" x14ac:dyDescent="0.35">
      <c r="A82">
        <v>81</v>
      </c>
      <c r="B82" t="s">
        <v>106</v>
      </c>
      <c r="C82" t="s">
        <v>21</v>
      </c>
      <c r="D82" t="s">
        <v>22</v>
      </c>
      <c r="E82" t="s">
        <v>19</v>
      </c>
      <c r="F82">
        <v>33</v>
      </c>
      <c r="G82" s="1">
        <v>44127</v>
      </c>
      <c r="H82">
        <v>7898</v>
      </c>
      <c r="I82">
        <v>3.97</v>
      </c>
      <c r="J82" t="s">
        <v>181</v>
      </c>
      <c r="K82">
        <v>1</v>
      </c>
      <c r="L82">
        <v>2</v>
      </c>
      <c r="M82">
        <v>8</v>
      </c>
      <c r="N82">
        <v>3</v>
      </c>
      <c r="O82">
        <v>8</v>
      </c>
      <c r="P82">
        <v>1619</v>
      </c>
      <c r="Q82" t="s">
        <v>176</v>
      </c>
    </row>
    <row r="83" spans="1:17" x14ac:dyDescent="0.35">
      <c r="A83">
        <v>82</v>
      </c>
      <c r="B83" t="s">
        <v>86</v>
      </c>
      <c r="C83" t="s">
        <v>36</v>
      </c>
      <c r="D83" t="s">
        <v>50</v>
      </c>
      <c r="E83" t="s">
        <v>19</v>
      </c>
      <c r="F83">
        <v>36</v>
      </c>
      <c r="G83" s="1">
        <v>45255</v>
      </c>
      <c r="H83">
        <v>12254</v>
      </c>
      <c r="I83">
        <v>3.05</v>
      </c>
      <c r="J83" t="s">
        <v>179</v>
      </c>
      <c r="K83">
        <v>5</v>
      </c>
      <c r="L83">
        <v>1</v>
      </c>
      <c r="M83">
        <v>16</v>
      </c>
      <c r="N83">
        <v>19</v>
      </c>
      <c r="O83">
        <v>29</v>
      </c>
      <c r="P83">
        <v>1417</v>
      </c>
      <c r="Q83" t="s">
        <v>177</v>
      </c>
    </row>
    <row r="84" spans="1:17" x14ac:dyDescent="0.35">
      <c r="A84">
        <v>83</v>
      </c>
      <c r="B84" t="s">
        <v>107</v>
      </c>
      <c r="C84" t="s">
        <v>39</v>
      </c>
      <c r="D84" t="s">
        <v>40</v>
      </c>
      <c r="E84" t="s">
        <v>23</v>
      </c>
      <c r="F84">
        <v>44</v>
      </c>
      <c r="G84" s="1">
        <v>43350</v>
      </c>
      <c r="H84">
        <v>11267</v>
      </c>
      <c r="I84">
        <v>2.68</v>
      </c>
      <c r="J84" t="s">
        <v>193</v>
      </c>
      <c r="K84">
        <v>1</v>
      </c>
      <c r="L84">
        <v>3</v>
      </c>
      <c r="M84">
        <v>19</v>
      </c>
      <c r="N84">
        <v>9</v>
      </c>
      <c r="O84">
        <v>4</v>
      </c>
      <c r="P84">
        <v>358</v>
      </c>
      <c r="Q84" t="s">
        <v>175</v>
      </c>
    </row>
    <row r="85" spans="1:17" x14ac:dyDescent="0.35">
      <c r="A85">
        <v>84</v>
      </c>
      <c r="B85" t="s">
        <v>87</v>
      </c>
      <c r="C85" t="s">
        <v>29</v>
      </c>
      <c r="D85" t="s">
        <v>30</v>
      </c>
      <c r="E85" t="s">
        <v>23</v>
      </c>
      <c r="F85">
        <v>36</v>
      </c>
      <c r="G85" s="1">
        <v>45658</v>
      </c>
      <c r="H85">
        <v>12282</v>
      </c>
      <c r="I85">
        <v>4.01</v>
      </c>
      <c r="J85" t="s">
        <v>181</v>
      </c>
      <c r="K85">
        <v>1</v>
      </c>
      <c r="L85">
        <v>1</v>
      </c>
      <c r="M85">
        <v>20</v>
      </c>
      <c r="N85">
        <v>41</v>
      </c>
      <c r="O85">
        <v>35</v>
      </c>
      <c r="P85">
        <v>1576</v>
      </c>
      <c r="Q85" t="s">
        <v>176</v>
      </c>
    </row>
    <row r="86" spans="1:17" x14ac:dyDescent="0.35">
      <c r="A86">
        <v>85</v>
      </c>
      <c r="B86" t="s">
        <v>96</v>
      </c>
      <c r="C86" t="s">
        <v>25</v>
      </c>
      <c r="D86" t="s">
        <v>26</v>
      </c>
      <c r="E86" t="s">
        <v>23</v>
      </c>
      <c r="F86">
        <v>34</v>
      </c>
      <c r="G86" s="1">
        <v>44862</v>
      </c>
      <c r="H86">
        <v>10815</v>
      </c>
      <c r="I86">
        <v>4.32</v>
      </c>
      <c r="J86" t="s">
        <v>181</v>
      </c>
      <c r="K86">
        <v>3</v>
      </c>
      <c r="L86">
        <v>4</v>
      </c>
      <c r="M86">
        <v>10</v>
      </c>
      <c r="N86">
        <v>42</v>
      </c>
      <c r="O86">
        <v>16</v>
      </c>
      <c r="P86">
        <v>866</v>
      </c>
      <c r="Q86" t="s">
        <v>175</v>
      </c>
    </row>
    <row r="87" spans="1:17" x14ac:dyDescent="0.35">
      <c r="A87">
        <v>86</v>
      </c>
      <c r="B87" t="s">
        <v>98</v>
      </c>
      <c r="C87" t="s">
        <v>25</v>
      </c>
      <c r="D87" t="s">
        <v>32</v>
      </c>
      <c r="E87" t="s">
        <v>23</v>
      </c>
      <c r="F87">
        <v>47</v>
      </c>
      <c r="G87" s="1">
        <v>45043</v>
      </c>
      <c r="H87">
        <v>6131</v>
      </c>
      <c r="I87">
        <v>3.89</v>
      </c>
      <c r="J87" t="s">
        <v>181</v>
      </c>
      <c r="K87">
        <v>5</v>
      </c>
      <c r="L87">
        <v>5</v>
      </c>
      <c r="M87">
        <v>17</v>
      </c>
      <c r="N87">
        <v>21</v>
      </c>
      <c r="O87">
        <v>7</v>
      </c>
      <c r="P87">
        <v>941</v>
      </c>
      <c r="Q87" t="s">
        <v>175</v>
      </c>
    </row>
    <row r="88" spans="1:17" x14ac:dyDescent="0.35">
      <c r="A88">
        <v>87</v>
      </c>
      <c r="B88" t="s">
        <v>108</v>
      </c>
      <c r="C88" t="s">
        <v>29</v>
      </c>
      <c r="D88" t="s">
        <v>30</v>
      </c>
      <c r="E88" t="s">
        <v>23</v>
      </c>
      <c r="F88">
        <v>25</v>
      </c>
      <c r="G88" s="1">
        <v>44833</v>
      </c>
      <c r="H88">
        <v>13468</v>
      </c>
      <c r="I88">
        <v>3.77</v>
      </c>
      <c r="J88" t="s">
        <v>181</v>
      </c>
      <c r="K88">
        <v>2</v>
      </c>
      <c r="L88">
        <v>4</v>
      </c>
      <c r="M88">
        <v>7</v>
      </c>
      <c r="N88">
        <v>54</v>
      </c>
      <c r="O88">
        <v>6</v>
      </c>
      <c r="P88">
        <v>817</v>
      </c>
      <c r="Q88" t="s">
        <v>175</v>
      </c>
    </row>
    <row r="89" spans="1:17" x14ac:dyDescent="0.35">
      <c r="A89">
        <v>88</v>
      </c>
      <c r="B89" t="s">
        <v>109</v>
      </c>
      <c r="C89" t="s">
        <v>21</v>
      </c>
      <c r="D89" t="s">
        <v>63</v>
      </c>
      <c r="E89" t="s">
        <v>19</v>
      </c>
      <c r="F89">
        <v>41</v>
      </c>
      <c r="G89" s="1">
        <v>44606</v>
      </c>
      <c r="H89">
        <v>14777</v>
      </c>
      <c r="I89">
        <v>4.57</v>
      </c>
      <c r="J89" t="s">
        <v>180</v>
      </c>
      <c r="K89">
        <v>3</v>
      </c>
      <c r="L89">
        <v>1</v>
      </c>
      <c r="M89">
        <v>5</v>
      </c>
      <c r="N89">
        <v>17</v>
      </c>
      <c r="O89">
        <v>19</v>
      </c>
      <c r="P89">
        <v>1987</v>
      </c>
      <c r="Q89" t="s">
        <v>176</v>
      </c>
    </row>
    <row r="90" spans="1:17" x14ac:dyDescent="0.35">
      <c r="A90">
        <v>89</v>
      </c>
      <c r="B90" t="s">
        <v>79</v>
      </c>
      <c r="C90" t="s">
        <v>29</v>
      </c>
      <c r="D90" t="s">
        <v>68</v>
      </c>
      <c r="E90" t="s">
        <v>19</v>
      </c>
      <c r="F90">
        <v>45</v>
      </c>
      <c r="G90" s="1">
        <v>44538</v>
      </c>
      <c r="H90">
        <v>14373</v>
      </c>
      <c r="I90">
        <v>4.93</v>
      </c>
      <c r="J90" t="s">
        <v>180</v>
      </c>
      <c r="K90">
        <v>1</v>
      </c>
      <c r="L90">
        <v>5</v>
      </c>
      <c r="M90">
        <v>6</v>
      </c>
      <c r="N90">
        <v>24</v>
      </c>
      <c r="O90">
        <v>26</v>
      </c>
      <c r="P90">
        <v>1029</v>
      </c>
      <c r="Q90" t="s">
        <v>177</v>
      </c>
    </row>
    <row r="91" spans="1:17" x14ac:dyDescent="0.35">
      <c r="A91">
        <v>90</v>
      </c>
      <c r="B91" t="s">
        <v>110</v>
      </c>
      <c r="C91" t="s">
        <v>29</v>
      </c>
      <c r="D91" t="s">
        <v>68</v>
      </c>
      <c r="E91" t="s">
        <v>19</v>
      </c>
      <c r="F91">
        <v>26</v>
      </c>
      <c r="G91" s="1">
        <v>43745</v>
      </c>
      <c r="H91">
        <v>6579</v>
      </c>
      <c r="I91">
        <v>4.3899999999999997</v>
      </c>
      <c r="J91" t="s">
        <v>181</v>
      </c>
      <c r="K91">
        <v>1</v>
      </c>
      <c r="L91">
        <v>1</v>
      </c>
      <c r="M91">
        <v>8</v>
      </c>
      <c r="N91">
        <v>28</v>
      </c>
      <c r="O91">
        <v>27</v>
      </c>
      <c r="P91">
        <v>1094</v>
      </c>
      <c r="Q91" t="s">
        <v>177</v>
      </c>
    </row>
    <row r="92" spans="1:17" x14ac:dyDescent="0.35">
      <c r="A92">
        <v>91</v>
      </c>
      <c r="B92" t="s">
        <v>111</v>
      </c>
      <c r="C92" t="s">
        <v>21</v>
      </c>
      <c r="D92" t="s">
        <v>22</v>
      </c>
      <c r="E92" t="s">
        <v>23</v>
      </c>
      <c r="F92">
        <v>35</v>
      </c>
      <c r="G92" s="1">
        <v>44911</v>
      </c>
      <c r="H92">
        <v>5816</v>
      </c>
      <c r="I92">
        <v>3.21</v>
      </c>
      <c r="J92" t="s">
        <v>179</v>
      </c>
      <c r="K92">
        <v>5</v>
      </c>
      <c r="L92">
        <v>4</v>
      </c>
      <c r="M92">
        <v>16</v>
      </c>
      <c r="N92">
        <v>42</v>
      </c>
      <c r="O92">
        <v>19</v>
      </c>
      <c r="P92">
        <v>193</v>
      </c>
      <c r="Q92" t="s">
        <v>175</v>
      </c>
    </row>
    <row r="93" spans="1:17" x14ac:dyDescent="0.35">
      <c r="A93">
        <v>92</v>
      </c>
      <c r="B93" t="s">
        <v>70</v>
      </c>
      <c r="C93" t="s">
        <v>25</v>
      </c>
      <c r="D93" t="s">
        <v>32</v>
      </c>
      <c r="E93" t="s">
        <v>23</v>
      </c>
      <c r="F93">
        <v>28</v>
      </c>
      <c r="G93" s="1">
        <v>44719</v>
      </c>
      <c r="H93">
        <v>6248</v>
      </c>
      <c r="I93">
        <v>4.41</v>
      </c>
      <c r="J93" t="s">
        <v>181</v>
      </c>
      <c r="K93">
        <v>3</v>
      </c>
      <c r="L93">
        <v>3</v>
      </c>
      <c r="M93">
        <v>3</v>
      </c>
      <c r="N93">
        <v>0</v>
      </c>
      <c r="O93">
        <v>31</v>
      </c>
      <c r="P93">
        <v>1629</v>
      </c>
      <c r="Q93" t="s">
        <v>176</v>
      </c>
    </row>
    <row r="94" spans="1:17" x14ac:dyDescent="0.35">
      <c r="A94">
        <v>93</v>
      </c>
      <c r="B94" t="s">
        <v>99</v>
      </c>
      <c r="C94" t="s">
        <v>36</v>
      </c>
      <c r="D94" t="s">
        <v>50</v>
      </c>
      <c r="E94" t="s">
        <v>19</v>
      </c>
      <c r="F94">
        <v>34</v>
      </c>
      <c r="G94" s="1">
        <v>43820</v>
      </c>
      <c r="H94">
        <v>4693</v>
      </c>
      <c r="I94">
        <v>3.59</v>
      </c>
      <c r="J94" t="s">
        <v>181</v>
      </c>
      <c r="K94">
        <v>4</v>
      </c>
      <c r="L94">
        <v>1</v>
      </c>
      <c r="M94">
        <v>10</v>
      </c>
      <c r="N94">
        <v>36</v>
      </c>
      <c r="O94">
        <v>27</v>
      </c>
      <c r="P94">
        <v>1274</v>
      </c>
      <c r="Q94" t="s">
        <v>177</v>
      </c>
    </row>
    <row r="95" spans="1:17" x14ac:dyDescent="0.35">
      <c r="A95">
        <v>94</v>
      </c>
      <c r="B95" t="s">
        <v>112</v>
      </c>
      <c r="C95" t="s">
        <v>36</v>
      </c>
      <c r="D95" t="s">
        <v>50</v>
      </c>
      <c r="E95" t="s">
        <v>19</v>
      </c>
      <c r="F95">
        <v>47</v>
      </c>
      <c r="G95" s="1">
        <v>44811</v>
      </c>
      <c r="H95">
        <v>14127</v>
      </c>
      <c r="I95">
        <v>3.65</v>
      </c>
      <c r="J95" t="s">
        <v>181</v>
      </c>
      <c r="K95">
        <v>3</v>
      </c>
      <c r="L95">
        <v>1</v>
      </c>
      <c r="M95">
        <v>13</v>
      </c>
      <c r="N95">
        <v>54</v>
      </c>
      <c r="O95">
        <v>6</v>
      </c>
      <c r="P95">
        <v>598</v>
      </c>
      <c r="Q95" t="s">
        <v>175</v>
      </c>
    </row>
    <row r="96" spans="1:17" x14ac:dyDescent="0.35">
      <c r="A96">
        <v>95</v>
      </c>
      <c r="B96" t="s">
        <v>98</v>
      </c>
      <c r="C96" t="s">
        <v>36</v>
      </c>
      <c r="D96" t="s">
        <v>50</v>
      </c>
      <c r="E96" t="s">
        <v>23</v>
      </c>
      <c r="F96">
        <v>29</v>
      </c>
      <c r="G96" s="1">
        <v>45513</v>
      </c>
      <c r="H96">
        <v>9456</v>
      </c>
      <c r="I96">
        <v>4.45</v>
      </c>
      <c r="J96" t="s">
        <v>181</v>
      </c>
      <c r="K96">
        <v>1</v>
      </c>
      <c r="L96">
        <v>5</v>
      </c>
      <c r="M96">
        <v>20</v>
      </c>
      <c r="N96">
        <v>7</v>
      </c>
      <c r="O96">
        <v>33</v>
      </c>
      <c r="P96">
        <v>1144</v>
      </c>
      <c r="Q96" t="s">
        <v>177</v>
      </c>
    </row>
    <row r="97" spans="1:17" x14ac:dyDescent="0.35">
      <c r="A97">
        <v>96</v>
      </c>
      <c r="B97" t="s">
        <v>113</v>
      </c>
      <c r="C97" t="s">
        <v>25</v>
      </c>
      <c r="D97" t="s">
        <v>32</v>
      </c>
      <c r="E97" t="s">
        <v>19</v>
      </c>
      <c r="F97">
        <v>30</v>
      </c>
      <c r="G97" s="1">
        <v>44532</v>
      </c>
      <c r="H97">
        <v>7232</v>
      </c>
      <c r="I97">
        <v>2.93</v>
      </c>
      <c r="J97" t="s">
        <v>179</v>
      </c>
      <c r="K97">
        <v>2</v>
      </c>
      <c r="L97">
        <v>1</v>
      </c>
      <c r="M97">
        <v>5</v>
      </c>
      <c r="N97">
        <v>60</v>
      </c>
      <c r="O97">
        <v>40</v>
      </c>
      <c r="P97">
        <v>1111</v>
      </c>
      <c r="Q97" t="s">
        <v>177</v>
      </c>
    </row>
    <row r="98" spans="1:17" x14ac:dyDescent="0.35">
      <c r="A98">
        <v>97</v>
      </c>
      <c r="B98" t="s">
        <v>114</v>
      </c>
      <c r="C98" t="s">
        <v>36</v>
      </c>
      <c r="D98" t="s">
        <v>50</v>
      </c>
      <c r="E98" t="s">
        <v>23</v>
      </c>
      <c r="F98">
        <v>26</v>
      </c>
      <c r="G98" s="1">
        <v>45410</v>
      </c>
      <c r="H98">
        <v>11205</v>
      </c>
      <c r="I98">
        <v>2.67</v>
      </c>
      <c r="J98" t="s">
        <v>193</v>
      </c>
      <c r="K98">
        <v>4</v>
      </c>
      <c r="L98">
        <v>3</v>
      </c>
      <c r="M98">
        <v>8</v>
      </c>
      <c r="N98">
        <v>37</v>
      </c>
      <c r="O98">
        <v>3</v>
      </c>
      <c r="P98">
        <v>820</v>
      </c>
      <c r="Q98" t="s">
        <v>175</v>
      </c>
    </row>
    <row r="99" spans="1:17" x14ac:dyDescent="0.35">
      <c r="A99">
        <v>98</v>
      </c>
      <c r="B99" t="s">
        <v>47</v>
      </c>
      <c r="C99" t="s">
        <v>21</v>
      </c>
      <c r="D99" t="s">
        <v>22</v>
      </c>
      <c r="E99" t="s">
        <v>23</v>
      </c>
      <c r="F99">
        <v>48</v>
      </c>
      <c r="G99" s="1">
        <v>43404</v>
      </c>
      <c r="H99">
        <v>8703</v>
      </c>
      <c r="I99">
        <v>2.69</v>
      </c>
      <c r="J99" t="s">
        <v>193</v>
      </c>
      <c r="K99">
        <v>1</v>
      </c>
      <c r="L99">
        <v>5</v>
      </c>
      <c r="M99">
        <v>19</v>
      </c>
      <c r="N99">
        <v>32</v>
      </c>
      <c r="O99">
        <v>24</v>
      </c>
      <c r="P99">
        <v>1047</v>
      </c>
      <c r="Q99" t="s">
        <v>177</v>
      </c>
    </row>
    <row r="100" spans="1:17" x14ac:dyDescent="0.35">
      <c r="A100">
        <v>99</v>
      </c>
      <c r="B100" t="s">
        <v>115</v>
      </c>
      <c r="C100" t="s">
        <v>21</v>
      </c>
      <c r="D100" t="s">
        <v>22</v>
      </c>
      <c r="E100" t="s">
        <v>23</v>
      </c>
      <c r="F100">
        <v>41</v>
      </c>
      <c r="G100" s="1">
        <v>45371</v>
      </c>
      <c r="H100">
        <v>11792</v>
      </c>
      <c r="I100">
        <v>3.75</v>
      </c>
      <c r="J100" t="s">
        <v>181</v>
      </c>
      <c r="K100">
        <v>1</v>
      </c>
      <c r="L100">
        <v>4</v>
      </c>
      <c r="M100">
        <v>3</v>
      </c>
      <c r="N100">
        <v>51</v>
      </c>
      <c r="O100">
        <v>21</v>
      </c>
      <c r="P100">
        <v>1562</v>
      </c>
      <c r="Q100" t="s">
        <v>176</v>
      </c>
    </row>
    <row r="101" spans="1:17" x14ac:dyDescent="0.35">
      <c r="A101">
        <v>100</v>
      </c>
      <c r="B101" t="s">
        <v>116</v>
      </c>
      <c r="C101" t="s">
        <v>39</v>
      </c>
      <c r="D101" t="s">
        <v>61</v>
      </c>
      <c r="E101" t="s">
        <v>23</v>
      </c>
      <c r="F101">
        <v>38</v>
      </c>
      <c r="G101" s="1">
        <v>45167</v>
      </c>
      <c r="H101">
        <v>12564</v>
      </c>
      <c r="I101">
        <v>4.0199999999999996</v>
      </c>
      <c r="J101" t="s">
        <v>181</v>
      </c>
      <c r="K101">
        <v>3</v>
      </c>
      <c r="L101">
        <v>3</v>
      </c>
      <c r="M101">
        <v>9</v>
      </c>
      <c r="N101">
        <v>24</v>
      </c>
      <c r="O101">
        <v>26</v>
      </c>
      <c r="P101">
        <v>1686</v>
      </c>
      <c r="Q101" t="s">
        <v>176</v>
      </c>
    </row>
    <row r="102" spans="1:17" x14ac:dyDescent="0.35">
      <c r="A102">
        <v>101</v>
      </c>
      <c r="B102" t="s">
        <v>58</v>
      </c>
      <c r="C102" t="s">
        <v>29</v>
      </c>
      <c r="D102" t="s">
        <v>30</v>
      </c>
      <c r="E102" t="s">
        <v>19</v>
      </c>
      <c r="F102">
        <v>39</v>
      </c>
      <c r="G102" s="1">
        <v>45549</v>
      </c>
      <c r="H102">
        <v>10333</v>
      </c>
      <c r="I102">
        <v>3.21</v>
      </c>
      <c r="J102" t="s">
        <v>179</v>
      </c>
      <c r="K102">
        <v>5</v>
      </c>
      <c r="L102">
        <v>2</v>
      </c>
      <c r="M102">
        <v>10</v>
      </c>
      <c r="N102">
        <v>5</v>
      </c>
      <c r="O102">
        <v>37</v>
      </c>
      <c r="P102">
        <v>1459</v>
      </c>
      <c r="Q102" t="s">
        <v>177</v>
      </c>
    </row>
    <row r="103" spans="1:17" x14ac:dyDescent="0.35">
      <c r="A103">
        <v>102</v>
      </c>
      <c r="B103" t="s">
        <v>78</v>
      </c>
      <c r="C103" t="s">
        <v>25</v>
      </c>
      <c r="D103" t="s">
        <v>44</v>
      </c>
      <c r="E103" t="s">
        <v>19</v>
      </c>
      <c r="F103">
        <v>31</v>
      </c>
      <c r="G103" s="1">
        <v>44533</v>
      </c>
      <c r="H103">
        <v>13157</v>
      </c>
      <c r="I103">
        <v>3.44</v>
      </c>
      <c r="J103" t="s">
        <v>179</v>
      </c>
      <c r="K103">
        <v>3</v>
      </c>
      <c r="L103">
        <v>2</v>
      </c>
      <c r="M103">
        <v>16</v>
      </c>
      <c r="N103">
        <v>5</v>
      </c>
      <c r="O103">
        <v>27</v>
      </c>
      <c r="P103">
        <v>1141</v>
      </c>
      <c r="Q103" t="s">
        <v>177</v>
      </c>
    </row>
    <row r="104" spans="1:17" x14ac:dyDescent="0.35">
      <c r="A104">
        <v>103</v>
      </c>
      <c r="B104" t="s">
        <v>117</v>
      </c>
      <c r="C104" t="s">
        <v>29</v>
      </c>
      <c r="D104" t="s">
        <v>30</v>
      </c>
      <c r="E104" t="s">
        <v>23</v>
      </c>
      <c r="F104">
        <v>28</v>
      </c>
      <c r="G104" s="1">
        <v>43175</v>
      </c>
      <c r="H104">
        <v>7711</v>
      </c>
      <c r="I104">
        <v>5</v>
      </c>
      <c r="J104" t="s">
        <v>180</v>
      </c>
      <c r="K104">
        <v>2</v>
      </c>
      <c r="L104">
        <v>1</v>
      </c>
      <c r="M104">
        <v>9</v>
      </c>
      <c r="N104">
        <v>54</v>
      </c>
      <c r="O104">
        <v>6</v>
      </c>
      <c r="P104">
        <v>1139</v>
      </c>
      <c r="Q104" t="s">
        <v>177</v>
      </c>
    </row>
    <row r="105" spans="1:17" x14ac:dyDescent="0.35">
      <c r="A105">
        <v>104</v>
      </c>
      <c r="B105" t="s">
        <v>81</v>
      </c>
      <c r="C105" t="s">
        <v>21</v>
      </c>
      <c r="D105" t="s">
        <v>63</v>
      </c>
      <c r="E105" t="s">
        <v>19</v>
      </c>
      <c r="F105">
        <v>27</v>
      </c>
      <c r="G105" s="1">
        <v>45257</v>
      </c>
      <c r="H105">
        <v>6962</v>
      </c>
      <c r="I105">
        <v>4.58</v>
      </c>
      <c r="J105" t="s">
        <v>180</v>
      </c>
      <c r="K105">
        <v>5</v>
      </c>
      <c r="L105">
        <v>2</v>
      </c>
      <c r="M105">
        <v>14</v>
      </c>
      <c r="N105">
        <v>2</v>
      </c>
      <c r="O105">
        <v>26</v>
      </c>
      <c r="P105">
        <v>846</v>
      </c>
      <c r="Q105" t="s">
        <v>175</v>
      </c>
    </row>
    <row r="106" spans="1:17" x14ac:dyDescent="0.35">
      <c r="A106">
        <v>105</v>
      </c>
      <c r="B106" t="s">
        <v>118</v>
      </c>
      <c r="C106" t="s">
        <v>17</v>
      </c>
      <c r="D106" t="s">
        <v>71</v>
      </c>
      <c r="E106" t="s">
        <v>19</v>
      </c>
      <c r="F106">
        <v>39</v>
      </c>
      <c r="G106" s="1">
        <v>44073</v>
      </c>
      <c r="H106">
        <v>7918</v>
      </c>
      <c r="I106">
        <v>3.27</v>
      </c>
      <c r="J106" t="s">
        <v>179</v>
      </c>
      <c r="K106">
        <v>4</v>
      </c>
      <c r="L106">
        <v>2</v>
      </c>
      <c r="M106">
        <v>11</v>
      </c>
      <c r="N106">
        <v>43</v>
      </c>
      <c r="O106">
        <v>36</v>
      </c>
      <c r="P106">
        <v>1002</v>
      </c>
      <c r="Q106" t="s">
        <v>177</v>
      </c>
    </row>
    <row r="107" spans="1:17" x14ac:dyDescent="0.35">
      <c r="A107">
        <v>106</v>
      </c>
      <c r="B107" t="s">
        <v>92</v>
      </c>
      <c r="C107" t="s">
        <v>36</v>
      </c>
      <c r="D107" t="s">
        <v>50</v>
      </c>
      <c r="E107" t="s">
        <v>19</v>
      </c>
      <c r="F107">
        <v>48</v>
      </c>
      <c r="G107" s="1">
        <v>44255</v>
      </c>
      <c r="H107">
        <v>7271</v>
      </c>
      <c r="I107">
        <v>4.5</v>
      </c>
      <c r="J107" t="s">
        <v>181</v>
      </c>
      <c r="K107">
        <v>2</v>
      </c>
      <c r="L107">
        <v>3</v>
      </c>
      <c r="M107">
        <v>1</v>
      </c>
      <c r="N107">
        <v>41</v>
      </c>
      <c r="O107">
        <v>30</v>
      </c>
      <c r="P107">
        <v>1890</v>
      </c>
      <c r="Q107" t="s">
        <v>176</v>
      </c>
    </row>
    <row r="108" spans="1:17" x14ac:dyDescent="0.35">
      <c r="A108">
        <v>107</v>
      </c>
      <c r="B108" t="s">
        <v>119</v>
      </c>
      <c r="C108" t="s">
        <v>29</v>
      </c>
      <c r="D108" t="s">
        <v>30</v>
      </c>
      <c r="E108" t="s">
        <v>19</v>
      </c>
      <c r="F108">
        <v>46</v>
      </c>
      <c r="G108" s="1">
        <v>45372</v>
      </c>
      <c r="H108">
        <v>6626</v>
      </c>
      <c r="I108">
        <v>3.18</v>
      </c>
      <c r="J108" t="s">
        <v>179</v>
      </c>
      <c r="K108">
        <v>5</v>
      </c>
      <c r="L108">
        <v>2</v>
      </c>
      <c r="M108">
        <v>13</v>
      </c>
      <c r="N108">
        <v>5</v>
      </c>
      <c r="O108">
        <v>14</v>
      </c>
      <c r="P108">
        <v>1772</v>
      </c>
      <c r="Q108" t="s">
        <v>176</v>
      </c>
    </row>
    <row r="109" spans="1:17" x14ac:dyDescent="0.35">
      <c r="A109">
        <v>108</v>
      </c>
      <c r="B109" t="s">
        <v>120</v>
      </c>
      <c r="C109" t="s">
        <v>36</v>
      </c>
      <c r="D109" t="s">
        <v>50</v>
      </c>
      <c r="E109" t="s">
        <v>23</v>
      </c>
      <c r="F109">
        <v>29</v>
      </c>
      <c r="G109" s="1">
        <v>44532</v>
      </c>
      <c r="H109">
        <v>10326</v>
      </c>
      <c r="I109">
        <v>4.99</v>
      </c>
      <c r="J109" t="s">
        <v>180</v>
      </c>
      <c r="K109">
        <v>3</v>
      </c>
      <c r="L109">
        <v>2</v>
      </c>
      <c r="M109">
        <v>0</v>
      </c>
      <c r="N109">
        <v>20</v>
      </c>
      <c r="O109">
        <v>6</v>
      </c>
      <c r="P109">
        <v>1818</v>
      </c>
      <c r="Q109" t="s">
        <v>176</v>
      </c>
    </row>
    <row r="110" spans="1:17" x14ac:dyDescent="0.35">
      <c r="A110">
        <v>109</v>
      </c>
      <c r="B110" t="s">
        <v>121</v>
      </c>
      <c r="C110" t="s">
        <v>17</v>
      </c>
      <c r="D110" t="s">
        <v>71</v>
      </c>
      <c r="E110" t="s">
        <v>23</v>
      </c>
      <c r="F110">
        <v>44</v>
      </c>
      <c r="G110" s="1">
        <v>44474</v>
      </c>
      <c r="H110">
        <v>6273</v>
      </c>
      <c r="I110">
        <v>4.4000000000000004</v>
      </c>
      <c r="J110" t="s">
        <v>181</v>
      </c>
      <c r="K110">
        <v>4</v>
      </c>
      <c r="L110">
        <v>4</v>
      </c>
      <c r="M110">
        <v>19</v>
      </c>
      <c r="N110">
        <v>0</v>
      </c>
      <c r="O110">
        <v>5</v>
      </c>
      <c r="P110">
        <v>138</v>
      </c>
      <c r="Q110" t="s">
        <v>175</v>
      </c>
    </row>
    <row r="111" spans="1:17" x14ac:dyDescent="0.35">
      <c r="A111">
        <v>110</v>
      </c>
      <c r="B111" t="s">
        <v>41</v>
      </c>
      <c r="C111" t="s">
        <v>29</v>
      </c>
      <c r="D111" t="s">
        <v>30</v>
      </c>
      <c r="E111" t="s">
        <v>19</v>
      </c>
      <c r="F111">
        <v>46</v>
      </c>
      <c r="G111" s="1">
        <v>43984</v>
      </c>
      <c r="H111">
        <v>8720</v>
      </c>
      <c r="I111">
        <v>3.09</v>
      </c>
      <c r="J111" t="s">
        <v>179</v>
      </c>
      <c r="K111">
        <v>1</v>
      </c>
      <c r="L111">
        <v>1</v>
      </c>
      <c r="M111">
        <v>7</v>
      </c>
      <c r="N111">
        <v>26</v>
      </c>
      <c r="O111">
        <v>40</v>
      </c>
      <c r="P111">
        <v>1725</v>
      </c>
      <c r="Q111" t="s">
        <v>176</v>
      </c>
    </row>
    <row r="112" spans="1:17" x14ac:dyDescent="0.35">
      <c r="A112">
        <v>111</v>
      </c>
      <c r="B112" t="s">
        <v>42</v>
      </c>
      <c r="C112" t="s">
        <v>21</v>
      </c>
      <c r="D112" t="s">
        <v>22</v>
      </c>
      <c r="E112" t="s">
        <v>19</v>
      </c>
      <c r="F112">
        <v>44</v>
      </c>
      <c r="G112" s="1">
        <v>44973</v>
      </c>
      <c r="H112">
        <v>6352</v>
      </c>
      <c r="I112">
        <v>3.23</v>
      </c>
      <c r="J112" t="s">
        <v>179</v>
      </c>
      <c r="K112">
        <v>1</v>
      </c>
      <c r="L112">
        <v>5</v>
      </c>
      <c r="M112">
        <v>11</v>
      </c>
      <c r="N112">
        <v>15</v>
      </c>
      <c r="O112">
        <v>36</v>
      </c>
      <c r="P112">
        <v>953</v>
      </c>
      <c r="Q112" t="s">
        <v>175</v>
      </c>
    </row>
    <row r="113" spans="1:17" x14ac:dyDescent="0.35">
      <c r="A113">
        <v>112</v>
      </c>
      <c r="B113" t="s">
        <v>43</v>
      </c>
      <c r="C113" t="s">
        <v>25</v>
      </c>
      <c r="D113" t="s">
        <v>44</v>
      </c>
      <c r="E113" t="s">
        <v>19</v>
      </c>
      <c r="F113">
        <v>34</v>
      </c>
      <c r="G113" s="1">
        <v>43451</v>
      </c>
      <c r="H113">
        <v>11702</v>
      </c>
      <c r="I113">
        <v>2.61</v>
      </c>
      <c r="J113" t="s">
        <v>193</v>
      </c>
      <c r="K113">
        <v>4</v>
      </c>
      <c r="L113">
        <v>3</v>
      </c>
      <c r="M113">
        <v>8</v>
      </c>
      <c r="N113">
        <v>47</v>
      </c>
      <c r="O113">
        <v>1</v>
      </c>
      <c r="P113">
        <v>831</v>
      </c>
      <c r="Q113" t="s">
        <v>175</v>
      </c>
    </row>
    <row r="114" spans="1:17" x14ac:dyDescent="0.35">
      <c r="A114">
        <v>113</v>
      </c>
      <c r="B114" t="s">
        <v>45</v>
      </c>
      <c r="C114" t="s">
        <v>39</v>
      </c>
      <c r="D114" t="s">
        <v>46</v>
      </c>
      <c r="E114" t="s">
        <v>19</v>
      </c>
      <c r="F114">
        <v>23</v>
      </c>
      <c r="G114" s="1">
        <v>44513</v>
      </c>
      <c r="H114">
        <v>9772</v>
      </c>
      <c r="I114">
        <v>3.87</v>
      </c>
      <c r="J114" t="s">
        <v>181</v>
      </c>
      <c r="K114">
        <v>2</v>
      </c>
      <c r="L114">
        <v>4</v>
      </c>
      <c r="M114">
        <v>15</v>
      </c>
      <c r="N114">
        <v>40</v>
      </c>
      <c r="O114">
        <v>11</v>
      </c>
      <c r="P114">
        <v>1761</v>
      </c>
      <c r="Q114" t="s">
        <v>176</v>
      </c>
    </row>
    <row r="115" spans="1:17" x14ac:dyDescent="0.35">
      <c r="A115">
        <v>114</v>
      </c>
      <c r="B115" t="s">
        <v>47</v>
      </c>
      <c r="C115" t="s">
        <v>25</v>
      </c>
      <c r="D115" t="s">
        <v>26</v>
      </c>
      <c r="E115" t="s">
        <v>19</v>
      </c>
      <c r="F115">
        <v>23</v>
      </c>
      <c r="G115" s="1">
        <v>43359</v>
      </c>
      <c r="H115">
        <v>7268</v>
      </c>
      <c r="I115">
        <v>4.71</v>
      </c>
      <c r="J115" t="s">
        <v>180</v>
      </c>
      <c r="K115">
        <v>3</v>
      </c>
      <c r="L115">
        <v>3</v>
      </c>
      <c r="M115">
        <v>16</v>
      </c>
      <c r="N115">
        <v>25</v>
      </c>
      <c r="O115">
        <v>34</v>
      </c>
      <c r="P115">
        <v>1069</v>
      </c>
      <c r="Q115" t="s">
        <v>177</v>
      </c>
    </row>
    <row r="116" spans="1:17" x14ac:dyDescent="0.35">
      <c r="A116">
        <v>115</v>
      </c>
      <c r="B116" t="s">
        <v>48</v>
      </c>
      <c r="C116" t="s">
        <v>29</v>
      </c>
      <c r="D116" t="s">
        <v>30</v>
      </c>
      <c r="E116" t="s">
        <v>19</v>
      </c>
      <c r="F116">
        <v>49</v>
      </c>
      <c r="G116" s="1">
        <v>43250</v>
      </c>
      <c r="H116">
        <v>14743</v>
      </c>
      <c r="I116">
        <v>3.33</v>
      </c>
      <c r="J116" t="s">
        <v>179</v>
      </c>
      <c r="K116">
        <v>1</v>
      </c>
      <c r="L116">
        <v>3</v>
      </c>
      <c r="M116">
        <v>13</v>
      </c>
      <c r="N116">
        <v>56</v>
      </c>
      <c r="O116">
        <v>25</v>
      </c>
      <c r="P116">
        <v>1622</v>
      </c>
      <c r="Q116" t="s">
        <v>176</v>
      </c>
    </row>
    <row r="117" spans="1:17" x14ac:dyDescent="0.35">
      <c r="A117">
        <v>116</v>
      </c>
      <c r="B117" t="s">
        <v>49</v>
      </c>
      <c r="C117" t="s">
        <v>36</v>
      </c>
      <c r="D117" t="s">
        <v>50</v>
      </c>
      <c r="E117" t="s">
        <v>23</v>
      </c>
      <c r="F117">
        <v>47</v>
      </c>
      <c r="G117" s="1">
        <v>44684</v>
      </c>
      <c r="H117">
        <v>12507</v>
      </c>
      <c r="I117">
        <v>3.17</v>
      </c>
      <c r="J117" t="s">
        <v>179</v>
      </c>
      <c r="K117">
        <v>1</v>
      </c>
      <c r="L117">
        <v>4</v>
      </c>
      <c r="M117">
        <v>2</v>
      </c>
      <c r="N117">
        <v>27</v>
      </c>
      <c r="O117">
        <v>38</v>
      </c>
      <c r="P117">
        <v>1784</v>
      </c>
      <c r="Q117" t="s">
        <v>176</v>
      </c>
    </row>
    <row r="118" spans="1:17" x14ac:dyDescent="0.35">
      <c r="A118">
        <v>117</v>
      </c>
      <c r="B118" t="s">
        <v>51</v>
      </c>
      <c r="C118" t="s">
        <v>25</v>
      </c>
      <c r="D118" t="s">
        <v>26</v>
      </c>
      <c r="E118" t="s">
        <v>23</v>
      </c>
      <c r="F118">
        <v>31</v>
      </c>
      <c r="G118" s="1">
        <v>45335</v>
      </c>
      <c r="H118">
        <v>11305</v>
      </c>
      <c r="I118">
        <v>4.01</v>
      </c>
      <c r="J118" t="s">
        <v>181</v>
      </c>
      <c r="K118">
        <v>4</v>
      </c>
      <c r="L118">
        <v>2</v>
      </c>
      <c r="M118">
        <v>14</v>
      </c>
      <c r="N118">
        <v>22</v>
      </c>
      <c r="O118">
        <v>28</v>
      </c>
      <c r="P118">
        <v>186</v>
      </c>
      <c r="Q118" t="s">
        <v>175</v>
      </c>
    </row>
    <row r="119" spans="1:17" x14ac:dyDescent="0.35">
      <c r="A119">
        <v>118</v>
      </c>
      <c r="B119" t="s">
        <v>52</v>
      </c>
      <c r="C119" t="s">
        <v>17</v>
      </c>
      <c r="D119" t="s">
        <v>18</v>
      </c>
      <c r="E119" t="s">
        <v>19</v>
      </c>
      <c r="F119">
        <v>43</v>
      </c>
      <c r="G119" s="1">
        <v>44545</v>
      </c>
      <c r="H119">
        <v>14445</v>
      </c>
      <c r="I119">
        <v>3.52</v>
      </c>
      <c r="J119" t="s">
        <v>181</v>
      </c>
      <c r="K119">
        <v>5</v>
      </c>
      <c r="L119">
        <v>2</v>
      </c>
      <c r="M119">
        <v>0</v>
      </c>
      <c r="N119">
        <v>9</v>
      </c>
      <c r="O119">
        <v>38</v>
      </c>
      <c r="P119">
        <v>1488</v>
      </c>
      <c r="Q119" t="s">
        <v>177</v>
      </c>
    </row>
    <row r="120" spans="1:17" x14ac:dyDescent="0.35">
      <c r="A120">
        <v>119</v>
      </c>
      <c r="B120" t="s">
        <v>53</v>
      </c>
      <c r="C120" t="s">
        <v>36</v>
      </c>
      <c r="D120" t="s">
        <v>50</v>
      </c>
      <c r="E120" t="s">
        <v>19</v>
      </c>
      <c r="F120">
        <v>41</v>
      </c>
      <c r="G120" s="1">
        <v>43243</v>
      </c>
      <c r="H120">
        <v>6513</v>
      </c>
      <c r="I120">
        <v>4.2</v>
      </c>
      <c r="J120" t="s">
        <v>181</v>
      </c>
      <c r="K120">
        <v>3</v>
      </c>
      <c r="L120">
        <v>3</v>
      </c>
      <c r="M120">
        <v>14</v>
      </c>
      <c r="N120">
        <v>48</v>
      </c>
      <c r="O120">
        <v>4</v>
      </c>
      <c r="P120">
        <v>1275</v>
      </c>
      <c r="Q120" t="s">
        <v>177</v>
      </c>
    </row>
    <row r="121" spans="1:17" x14ac:dyDescent="0.35">
      <c r="A121">
        <v>120</v>
      </c>
      <c r="B121" t="s">
        <v>122</v>
      </c>
      <c r="C121" t="s">
        <v>25</v>
      </c>
      <c r="D121" t="s">
        <v>32</v>
      </c>
      <c r="E121" t="s">
        <v>19</v>
      </c>
      <c r="F121">
        <v>22</v>
      </c>
      <c r="G121" s="1">
        <v>45269</v>
      </c>
      <c r="H121">
        <v>7048</v>
      </c>
      <c r="I121">
        <v>3.75</v>
      </c>
      <c r="J121" t="s">
        <v>181</v>
      </c>
      <c r="K121">
        <v>4</v>
      </c>
      <c r="L121">
        <v>5</v>
      </c>
      <c r="M121">
        <v>3</v>
      </c>
      <c r="N121">
        <v>16</v>
      </c>
      <c r="O121">
        <v>16</v>
      </c>
      <c r="P121">
        <v>1541</v>
      </c>
      <c r="Q121" t="s">
        <v>176</v>
      </c>
    </row>
    <row r="122" spans="1:17" x14ac:dyDescent="0.35">
      <c r="A122">
        <v>121</v>
      </c>
      <c r="B122" t="s">
        <v>123</v>
      </c>
      <c r="C122" t="s">
        <v>36</v>
      </c>
      <c r="D122" t="s">
        <v>37</v>
      </c>
      <c r="E122" t="s">
        <v>19</v>
      </c>
      <c r="F122">
        <v>26</v>
      </c>
      <c r="G122" s="1">
        <v>43979</v>
      </c>
      <c r="H122">
        <v>5213</v>
      </c>
      <c r="I122">
        <v>3.63</v>
      </c>
      <c r="J122" t="s">
        <v>181</v>
      </c>
      <c r="K122">
        <v>4</v>
      </c>
      <c r="L122">
        <v>1</v>
      </c>
      <c r="M122">
        <v>10</v>
      </c>
      <c r="N122">
        <v>42</v>
      </c>
      <c r="O122">
        <v>22</v>
      </c>
      <c r="P122">
        <v>1553</v>
      </c>
      <c r="Q122" t="s">
        <v>176</v>
      </c>
    </row>
    <row r="123" spans="1:17" x14ac:dyDescent="0.35">
      <c r="A123">
        <v>122</v>
      </c>
      <c r="B123" t="s">
        <v>124</v>
      </c>
      <c r="C123" t="s">
        <v>39</v>
      </c>
      <c r="D123" t="s">
        <v>56</v>
      </c>
      <c r="E123" t="s">
        <v>23</v>
      </c>
      <c r="F123">
        <v>38</v>
      </c>
      <c r="G123" s="1">
        <v>45353</v>
      </c>
      <c r="H123">
        <v>7673</v>
      </c>
      <c r="I123">
        <v>2.8</v>
      </c>
      <c r="J123" t="s">
        <v>179</v>
      </c>
      <c r="K123">
        <v>2</v>
      </c>
      <c r="L123">
        <v>2</v>
      </c>
      <c r="M123">
        <v>7</v>
      </c>
      <c r="N123">
        <v>50</v>
      </c>
      <c r="O123">
        <v>31</v>
      </c>
      <c r="P123">
        <v>153</v>
      </c>
      <c r="Q123" t="s">
        <v>175</v>
      </c>
    </row>
    <row r="124" spans="1:17" x14ac:dyDescent="0.35">
      <c r="A124">
        <v>123</v>
      </c>
      <c r="B124" t="s">
        <v>125</v>
      </c>
      <c r="C124" t="s">
        <v>29</v>
      </c>
      <c r="D124" t="s">
        <v>68</v>
      </c>
      <c r="E124" t="s">
        <v>19</v>
      </c>
      <c r="F124">
        <v>24</v>
      </c>
      <c r="G124" s="1">
        <v>45370</v>
      </c>
      <c r="H124">
        <v>9067</v>
      </c>
      <c r="I124">
        <v>3.5</v>
      </c>
      <c r="J124" t="s">
        <v>179</v>
      </c>
      <c r="K124">
        <v>4</v>
      </c>
      <c r="L124">
        <v>5</v>
      </c>
      <c r="M124">
        <v>13</v>
      </c>
      <c r="N124">
        <v>49</v>
      </c>
      <c r="O124">
        <v>26</v>
      </c>
      <c r="P124">
        <v>1786</v>
      </c>
      <c r="Q124" t="s">
        <v>176</v>
      </c>
    </row>
    <row r="125" spans="1:17" x14ac:dyDescent="0.35">
      <c r="A125">
        <v>124</v>
      </c>
      <c r="B125" t="s">
        <v>126</v>
      </c>
      <c r="C125" t="s">
        <v>21</v>
      </c>
      <c r="D125" t="s">
        <v>63</v>
      </c>
      <c r="E125" t="s">
        <v>23</v>
      </c>
      <c r="F125">
        <v>26</v>
      </c>
      <c r="G125" s="1">
        <v>43403</v>
      </c>
      <c r="H125">
        <v>13032</v>
      </c>
      <c r="I125">
        <v>4.0999999999999996</v>
      </c>
      <c r="J125" t="s">
        <v>181</v>
      </c>
      <c r="K125">
        <v>2</v>
      </c>
      <c r="L125">
        <v>2</v>
      </c>
      <c r="M125">
        <v>13</v>
      </c>
      <c r="N125">
        <v>32</v>
      </c>
      <c r="O125">
        <v>3</v>
      </c>
      <c r="P125">
        <v>1802</v>
      </c>
      <c r="Q125" t="s">
        <v>176</v>
      </c>
    </row>
    <row r="126" spans="1:17" x14ac:dyDescent="0.35">
      <c r="A126">
        <v>125</v>
      </c>
      <c r="B126" t="s">
        <v>127</v>
      </c>
      <c r="C126" t="s">
        <v>39</v>
      </c>
      <c r="D126" t="s">
        <v>56</v>
      </c>
      <c r="E126" t="s">
        <v>23</v>
      </c>
      <c r="F126">
        <v>38</v>
      </c>
      <c r="G126" s="1">
        <v>45223</v>
      </c>
      <c r="H126">
        <v>8653</v>
      </c>
      <c r="I126">
        <v>4.6100000000000003</v>
      </c>
      <c r="J126" t="s">
        <v>180</v>
      </c>
      <c r="K126">
        <v>3</v>
      </c>
      <c r="L126">
        <v>2</v>
      </c>
      <c r="M126">
        <v>20</v>
      </c>
      <c r="N126">
        <v>35</v>
      </c>
      <c r="O126">
        <v>17</v>
      </c>
      <c r="P126">
        <v>356</v>
      </c>
      <c r="Q126" t="s">
        <v>175</v>
      </c>
    </row>
    <row r="127" spans="1:17" x14ac:dyDescent="0.35">
      <c r="A127">
        <v>126</v>
      </c>
      <c r="B127" t="s">
        <v>128</v>
      </c>
      <c r="C127" t="s">
        <v>17</v>
      </c>
      <c r="D127" t="s">
        <v>18</v>
      </c>
      <c r="E127" t="s">
        <v>19</v>
      </c>
      <c r="F127">
        <v>27</v>
      </c>
      <c r="G127" s="1">
        <v>44341</v>
      </c>
      <c r="H127">
        <v>14792</v>
      </c>
      <c r="I127">
        <v>4.0599999999999996</v>
      </c>
      <c r="J127" t="s">
        <v>181</v>
      </c>
      <c r="K127">
        <v>5</v>
      </c>
      <c r="L127">
        <v>3</v>
      </c>
      <c r="M127">
        <v>18</v>
      </c>
      <c r="N127">
        <v>2</v>
      </c>
      <c r="O127">
        <v>1</v>
      </c>
      <c r="P127">
        <v>266</v>
      </c>
      <c r="Q127" t="s">
        <v>175</v>
      </c>
    </row>
    <row r="128" spans="1:17" x14ac:dyDescent="0.35">
      <c r="A128">
        <v>127</v>
      </c>
      <c r="B128" t="s">
        <v>105</v>
      </c>
      <c r="C128" t="s">
        <v>39</v>
      </c>
      <c r="D128" t="s">
        <v>61</v>
      </c>
      <c r="E128" t="s">
        <v>19</v>
      </c>
      <c r="F128">
        <v>37</v>
      </c>
      <c r="G128" s="1">
        <v>45463</v>
      </c>
      <c r="H128">
        <v>14275</v>
      </c>
      <c r="I128">
        <v>3.86</v>
      </c>
      <c r="J128" t="s">
        <v>181</v>
      </c>
      <c r="K128">
        <v>3</v>
      </c>
      <c r="L128">
        <v>4</v>
      </c>
      <c r="M128">
        <v>7</v>
      </c>
      <c r="N128">
        <v>51</v>
      </c>
      <c r="O128">
        <v>25</v>
      </c>
      <c r="P128">
        <v>709</v>
      </c>
      <c r="Q128" t="s">
        <v>175</v>
      </c>
    </row>
    <row r="129" spans="1:17" x14ac:dyDescent="0.35">
      <c r="A129">
        <v>128</v>
      </c>
      <c r="B129" t="s">
        <v>49</v>
      </c>
      <c r="C129" t="s">
        <v>36</v>
      </c>
      <c r="D129" t="s">
        <v>50</v>
      </c>
      <c r="E129" t="s">
        <v>23</v>
      </c>
      <c r="F129">
        <v>36</v>
      </c>
      <c r="G129" s="1">
        <v>43399</v>
      </c>
      <c r="H129">
        <v>7342</v>
      </c>
      <c r="I129">
        <v>3.35</v>
      </c>
      <c r="J129" t="s">
        <v>179</v>
      </c>
      <c r="K129">
        <v>2</v>
      </c>
      <c r="L129">
        <v>3</v>
      </c>
      <c r="M129">
        <v>10</v>
      </c>
      <c r="N129">
        <v>46</v>
      </c>
      <c r="O129">
        <v>22</v>
      </c>
      <c r="P129">
        <v>916</v>
      </c>
      <c r="Q129" t="s">
        <v>175</v>
      </c>
    </row>
    <row r="130" spans="1:17" x14ac:dyDescent="0.35">
      <c r="A130">
        <v>129</v>
      </c>
      <c r="B130" t="s">
        <v>24</v>
      </c>
      <c r="C130" t="s">
        <v>25</v>
      </c>
      <c r="D130" t="s">
        <v>32</v>
      </c>
      <c r="E130" t="s">
        <v>23</v>
      </c>
      <c r="F130">
        <v>25</v>
      </c>
      <c r="G130" s="1">
        <v>44618</v>
      </c>
      <c r="H130">
        <v>8382</v>
      </c>
      <c r="I130">
        <v>3.62</v>
      </c>
      <c r="J130" t="s">
        <v>181</v>
      </c>
      <c r="K130">
        <v>2</v>
      </c>
      <c r="L130">
        <v>1</v>
      </c>
      <c r="M130">
        <v>1</v>
      </c>
      <c r="N130">
        <v>18</v>
      </c>
      <c r="O130">
        <v>24</v>
      </c>
      <c r="P130">
        <v>1869</v>
      </c>
      <c r="Q130" t="s">
        <v>176</v>
      </c>
    </row>
    <row r="131" spans="1:17" x14ac:dyDescent="0.35">
      <c r="A131">
        <v>130</v>
      </c>
      <c r="B131" t="s">
        <v>110</v>
      </c>
      <c r="C131" t="s">
        <v>21</v>
      </c>
      <c r="D131" t="s">
        <v>63</v>
      </c>
      <c r="E131" t="s">
        <v>19</v>
      </c>
      <c r="F131">
        <v>46</v>
      </c>
      <c r="G131" s="1">
        <v>44813</v>
      </c>
      <c r="H131">
        <v>6610</v>
      </c>
      <c r="I131">
        <v>3.75</v>
      </c>
      <c r="J131" t="s">
        <v>181</v>
      </c>
      <c r="K131">
        <v>5</v>
      </c>
      <c r="L131">
        <v>4</v>
      </c>
      <c r="M131">
        <v>15</v>
      </c>
      <c r="N131">
        <v>56</v>
      </c>
      <c r="O131">
        <v>19</v>
      </c>
      <c r="P131">
        <v>1118</v>
      </c>
      <c r="Q131" t="s">
        <v>177</v>
      </c>
    </row>
    <row r="132" spans="1:17" x14ac:dyDescent="0.35">
      <c r="A132">
        <v>131</v>
      </c>
      <c r="B132" t="s">
        <v>57</v>
      </c>
      <c r="C132" t="s">
        <v>39</v>
      </c>
      <c r="D132" t="s">
        <v>56</v>
      </c>
      <c r="E132" t="s">
        <v>19</v>
      </c>
      <c r="F132">
        <v>40</v>
      </c>
      <c r="G132" s="1">
        <v>43469</v>
      </c>
      <c r="H132">
        <v>9781</v>
      </c>
      <c r="I132">
        <v>2.62</v>
      </c>
      <c r="J132" t="s">
        <v>193</v>
      </c>
      <c r="K132">
        <v>3</v>
      </c>
      <c r="L132">
        <v>4</v>
      </c>
      <c r="M132">
        <v>19</v>
      </c>
      <c r="N132">
        <v>56</v>
      </c>
      <c r="O132">
        <v>30</v>
      </c>
      <c r="P132">
        <v>685</v>
      </c>
      <c r="Q132" t="s">
        <v>175</v>
      </c>
    </row>
    <row r="133" spans="1:17" x14ac:dyDescent="0.35">
      <c r="A133">
        <v>132</v>
      </c>
      <c r="B133" t="s">
        <v>129</v>
      </c>
      <c r="C133" t="s">
        <v>21</v>
      </c>
      <c r="D133" t="s">
        <v>63</v>
      </c>
      <c r="E133" t="s">
        <v>23</v>
      </c>
      <c r="F133">
        <v>46</v>
      </c>
      <c r="G133" s="1">
        <v>43134</v>
      </c>
      <c r="H133">
        <v>10606</v>
      </c>
      <c r="I133">
        <v>3.41</v>
      </c>
      <c r="J133" t="s">
        <v>179</v>
      </c>
      <c r="K133">
        <v>4</v>
      </c>
      <c r="L133">
        <v>1</v>
      </c>
      <c r="M133">
        <v>18</v>
      </c>
      <c r="N133">
        <v>35</v>
      </c>
      <c r="O133">
        <v>12</v>
      </c>
      <c r="P133">
        <v>842</v>
      </c>
      <c r="Q133" t="s">
        <v>175</v>
      </c>
    </row>
    <row r="134" spans="1:17" x14ac:dyDescent="0.35">
      <c r="A134">
        <v>133</v>
      </c>
      <c r="B134" t="s">
        <v>125</v>
      </c>
      <c r="C134" t="s">
        <v>21</v>
      </c>
      <c r="D134" t="s">
        <v>63</v>
      </c>
      <c r="E134" t="s">
        <v>19</v>
      </c>
      <c r="F134">
        <v>26</v>
      </c>
      <c r="G134" s="1">
        <v>44283</v>
      </c>
      <c r="H134">
        <v>5584</v>
      </c>
      <c r="I134">
        <v>3.48</v>
      </c>
      <c r="J134" t="s">
        <v>179</v>
      </c>
      <c r="K134">
        <v>3</v>
      </c>
      <c r="L134">
        <v>5</v>
      </c>
      <c r="M134">
        <v>11</v>
      </c>
      <c r="N134">
        <v>48</v>
      </c>
      <c r="O134">
        <v>9</v>
      </c>
      <c r="P134">
        <v>507</v>
      </c>
      <c r="Q134" t="s">
        <v>175</v>
      </c>
    </row>
    <row r="135" spans="1:17" x14ac:dyDescent="0.35">
      <c r="A135">
        <v>134</v>
      </c>
      <c r="B135" t="s">
        <v>70</v>
      </c>
      <c r="C135" t="s">
        <v>21</v>
      </c>
      <c r="D135" t="s">
        <v>22</v>
      </c>
      <c r="E135" t="s">
        <v>19</v>
      </c>
      <c r="F135">
        <v>44</v>
      </c>
      <c r="G135" s="1">
        <v>45186</v>
      </c>
      <c r="H135">
        <v>9456</v>
      </c>
      <c r="I135">
        <v>4.51</v>
      </c>
      <c r="J135" t="s">
        <v>180</v>
      </c>
      <c r="K135">
        <v>5</v>
      </c>
      <c r="L135">
        <v>4</v>
      </c>
      <c r="M135">
        <v>4</v>
      </c>
      <c r="N135">
        <v>38</v>
      </c>
      <c r="O135">
        <v>32</v>
      </c>
      <c r="P135">
        <v>386</v>
      </c>
      <c r="Q135" t="s">
        <v>175</v>
      </c>
    </row>
    <row r="136" spans="1:17" x14ac:dyDescent="0.35">
      <c r="A136">
        <v>135</v>
      </c>
      <c r="B136" t="s">
        <v>130</v>
      </c>
      <c r="C136" t="s">
        <v>29</v>
      </c>
      <c r="D136" t="s">
        <v>30</v>
      </c>
      <c r="E136" t="s">
        <v>23</v>
      </c>
      <c r="F136">
        <v>38</v>
      </c>
      <c r="G136" s="1">
        <v>45612</v>
      </c>
      <c r="H136">
        <v>12351</v>
      </c>
      <c r="I136">
        <v>3.83</v>
      </c>
      <c r="J136" t="s">
        <v>181</v>
      </c>
      <c r="K136">
        <v>5</v>
      </c>
      <c r="L136">
        <v>3</v>
      </c>
      <c r="M136">
        <v>15</v>
      </c>
      <c r="N136">
        <v>52</v>
      </c>
      <c r="O136">
        <v>1</v>
      </c>
      <c r="P136">
        <v>854</v>
      </c>
      <c r="Q136" t="s">
        <v>175</v>
      </c>
    </row>
    <row r="137" spans="1:17" x14ac:dyDescent="0.35">
      <c r="A137">
        <v>136</v>
      </c>
      <c r="B137" t="s">
        <v>131</v>
      </c>
      <c r="C137" t="s">
        <v>29</v>
      </c>
      <c r="D137" t="s">
        <v>68</v>
      </c>
      <c r="E137" t="s">
        <v>23</v>
      </c>
      <c r="F137">
        <v>30</v>
      </c>
      <c r="G137" s="1">
        <v>43549</v>
      </c>
      <c r="H137">
        <v>14741</v>
      </c>
      <c r="I137">
        <v>4.46</v>
      </c>
      <c r="J137" t="s">
        <v>181</v>
      </c>
      <c r="K137">
        <v>5</v>
      </c>
      <c r="L137">
        <v>5</v>
      </c>
      <c r="M137">
        <v>7</v>
      </c>
      <c r="N137">
        <v>46</v>
      </c>
      <c r="O137">
        <v>3</v>
      </c>
      <c r="P137">
        <v>1295</v>
      </c>
      <c r="Q137" t="s">
        <v>177</v>
      </c>
    </row>
    <row r="138" spans="1:17" x14ac:dyDescent="0.35">
      <c r="A138">
        <v>137</v>
      </c>
      <c r="B138" t="s">
        <v>132</v>
      </c>
      <c r="C138" t="s">
        <v>36</v>
      </c>
      <c r="D138" t="s">
        <v>37</v>
      </c>
      <c r="E138" t="s">
        <v>19</v>
      </c>
      <c r="F138">
        <v>23</v>
      </c>
      <c r="G138" s="1">
        <v>43799</v>
      </c>
      <c r="H138">
        <v>13380</v>
      </c>
      <c r="I138">
        <v>4.87</v>
      </c>
      <c r="J138" t="s">
        <v>180</v>
      </c>
      <c r="K138">
        <v>1</v>
      </c>
      <c r="L138">
        <v>2</v>
      </c>
      <c r="M138">
        <v>0</v>
      </c>
      <c r="N138">
        <v>28</v>
      </c>
      <c r="O138">
        <v>20</v>
      </c>
      <c r="P138">
        <v>957</v>
      </c>
      <c r="Q138" t="s">
        <v>175</v>
      </c>
    </row>
    <row r="139" spans="1:17" x14ac:dyDescent="0.35">
      <c r="A139">
        <v>138</v>
      </c>
      <c r="B139" t="s">
        <v>133</v>
      </c>
      <c r="C139" t="s">
        <v>25</v>
      </c>
      <c r="D139" t="s">
        <v>44</v>
      </c>
      <c r="E139" t="s">
        <v>23</v>
      </c>
      <c r="F139">
        <v>49</v>
      </c>
      <c r="G139" s="1">
        <v>44792</v>
      </c>
      <c r="H139">
        <v>5020</v>
      </c>
      <c r="I139">
        <v>4.26</v>
      </c>
      <c r="J139" t="s">
        <v>181</v>
      </c>
      <c r="K139">
        <v>5</v>
      </c>
      <c r="L139">
        <v>2</v>
      </c>
      <c r="M139">
        <v>17</v>
      </c>
      <c r="N139">
        <v>20</v>
      </c>
      <c r="O139">
        <v>30</v>
      </c>
      <c r="P139">
        <v>1176</v>
      </c>
      <c r="Q139" t="s">
        <v>177</v>
      </c>
    </row>
    <row r="140" spans="1:17" x14ac:dyDescent="0.35">
      <c r="A140">
        <v>139</v>
      </c>
      <c r="B140" t="s">
        <v>125</v>
      </c>
      <c r="C140" t="s">
        <v>36</v>
      </c>
      <c r="D140" t="s">
        <v>50</v>
      </c>
      <c r="E140" t="s">
        <v>23</v>
      </c>
      <c r="F140">
        <v>43</v>
      </c>
      <c r="G140" s="1">
        <v>44386</v>
      </c>
      <c r="H140">
        <v>14539</v>
      </c>
      <c r="I140">
        <v>4.51</v>
      </c>
      <c r="J140" t="s">
        <v>180</v>
      </c>
      <c r="K140">
        <v>3</v>
      </c>
      <c r="L140">
        <v>5</v>
      </c>
      <c r="M140">
        <v>15</v>
      </c>
      <c r="N140">
        <v>12</v>
      </c>
      <c r="O140">
        <v>15</v>
      </c>
      <c r="P140">
        <v>671</v>
      </c>
      <c r="Q140" t="s">
        <v>175</v>
      </c>
    </row>
    <row r="141" spans="1:17" x14ac:dyDescent="0.35">
      <c r="A141">
        <v>140</v>
      </c>
      <c r="B141" t="s">
        <v>134</v>
      </c>
      <c r="C141" t="s">
        <v>21</v>
      </c>
      <c r="D141" t="s">
        <v>63</v>
      </c>
      <c r="E141" t="s">
        <v>23</v>
      </c>
      <c r="F141">
        <v>37</v>
      </c>
      <c r="G141" s="1">
        <v>44323</v>
      </c>
      <c r="H141">
        <v>9714</v>
      </c>
      <c r="I141">
        <v>3.9</v>
      </c>
      <c r="J141" t="s">
        <v>181</v>
      </c>
      <c r="K141">
        <v>3</v>
      </c>
      <c r="L141">
        <v>3</v>
      </c>
      <c r="M141">
        <v>3</v>
      </c>
      <c r="N141">
        <v>36</v>
      </c>
      <c r="O141">
        <v>34</v>
      </c>
      <c r="P141">
        <v>877</v>
      </c>
      <c r="Q141" t="s">
        <v>175</v>
      </c>
    </row>
    <row r="142" spans="1:17" x14ac:dyDescent="0.35">
      <c r="A142">
        <v>141</v>
      </c>
      <c r="B142" t="s">
        <v>135</v>
      </c>
      <c r="C142" t="s">
        <v>36</v>
      </c>
      <c r="D142" t="s">
        <v>37</v>
      </c>
      <c r="E142" t="s">
        <v>23</v>
      </c>
      <c r="F142">
        <v>44</v>
      </c>
      <c r="G142" s="1">
        <v>44514</v>
      </c>
      <c r="H142">
        <v>5294</v>
      </c>
      <c r="I142">
        <v>3.37</v>
      </c>
      <c r="J142" t="s">
        <v>179</v>
      </c>
      <c r="K142">
        <v>4</v>
      </c>
      <c r="L142">
        <v>3</v>
      </c>
      <c r="M142">
        <v>15</v>
      </c>
      <c r="N142">
        <v>13</v>
      </c>
      <c r="O142">
        <v>12</v>
      </c>
      <c r="P142">
        <v>1795</v>
      </c>
      <c r="Q142" t="s">
        <v>176</v>
      </c>
    </row>
    <row r="143" spans="1:17" x14ac:dyDescent="0.35">
      <c r="A143">
        <v>142</v>
      </c>
      <c r="B143" t="s">
        <v>136</v>
      </c>
      <c r="C143" t="s">
        <v>21</v>
      </c>
      <c r="D143" t="s">
        <v>22</v>
      </c>
      <c r="E143" t="s">
        <v>19</v>
      </c>
      <c r="F143">
        <v>29</v>
      </c>
      <c r="G143" s="1">
        <v>44211</v>
      </c>
      <c r="H143">
        <v>4831</v>
      </c>
      <c r="I143">
        <v>4.17</v>
      </c>
      <c r="J143" t="s">
        <v>181</v>
      </c>
      <c r="K143">
        <v>5</v>
      </c>
      <c r="L143">
        <v>2</v>
      </c>
      <c r="M143">
        <v>20</v>
      </c>
      <c r="N143">
        <v>14</v>
      </c>
      <c r="O143">
        <v>3</v>
      </c>
      <c r="P143">
        <v>305</v>
      </c>
      <c r="Q143" t="s">
        <v>175</v>
      </c>
    </row>
    <row r="144" spans="1:17" x14ac:dyDescent="0.35">
      <c r="A144">
        <v>143</v>
      </c>
      <c r="B144" t="s">
        <v>82</v>
      </c>
      <c r="C144" t="s">
        <v>36</v>
      </c>
      <c r="D144" t="s">
        <v>37</v>
      </c>
      <c r="E144" t="s">
        <v>19</v>
      </c>
      <c r="F144">
        <v>35</v>
      </c>
      <c r="G144" s="1">
        <v>44453</v>
      </c>
      <c r="H144">
        <v>14696</v>
      </c>
      <c r="I144">
        <v>4.84</v>
      </c>
      <c r="J144" t="s">
        <v>180</v>
      </c>
      <c r="K144">
        <v>4</v>
      </c>
      <c r="L144">
        <v>4</v>
      </c>
      <c r="M144">
        <v>20</v>
      </c>
      <c r="N144">
        <v>12</v>
      </c>
      <c r="O144">
        <v>18</v>
      </c>
      <c r="P144">
        <v>757</v>
      </c>
      <c r="Q144" t="s">
        <v>175</v>
      </c>
    </row>
    <row r="145" spans="1:17" x14ac:dyDescent="0.35">
      <c r="A145">
        <v>144</v>
      </c>
      <c r="B145" t="s">
        <v>137</v>
      </c>
      <c r="C145" t="s">
        <v>29</v>
      </c>
      <c r="D145" t="s">
        <v>68</v>
      </c>
      <c r="E145" t="s">
        <v>19</v>
      </c>
      <c r="F145">
        <v>27</v>
      </c>
      <c r="G145" s="1">
        <v>43343</v>
      </c>
      <c r="H145">
        <v>10846</v>
      </c>
      <c r="I145">
        <v>4.71</v>
      </c>
      <c r="J145" t="s">
        <v>180</v>
      </c>
      <c r="K145">
        <v>2</v>
      </c>
      <c r="L145">
        <v>1</v>
      </c>
      <c r="M145">
        <v>12</v>
      </c>
      <c r="N145">
        <v>50</v>
      </c>
      <c r="O145">
        <v>31</v>
      </c>
      <c r="P145">
        <v>481</v>
      </c>
      <c r="Q145" t="s">
        <v>175</v>
      </c>
    </row>
    <row r="146" spans="1:17" x14ac:dyDescent="0.35">
      <c r="A146">
        <v>145</v>
      </c>
      <c r="B146" t="s">
        <v>93</v>
      </c>
      <c r="C146" t="s">
        <v>17</v>
      </c>
      <c r="D146" t="s">
        <v>18</v>
      </c>
      <c r="E146" t="s">
        <v>23</v>
      </c>
      <c r="F146">
        <v>31</v>
      </c>
      <c r="G146" s="1">
        <v>44286</v>
      </c>
      <c r="H146">
        <v>11444</v>
      </c>
      <c r="I146">
        <v>4.97</v>
      </c>
      <c r="J146" t="s">
        <v>180</v>
      </c>
      <c r="K146">
        <v>5</v>
      </c>
      <c r="L146">
        <v>5</v>
      </c>
      <c r="M146">
        <v>15</v>
      </c>
      <c r="N146">
        <v>56</v>
      </c>
      <c r="O146">
        <v>8</v>
      </c>
      <c r="P146">
        <v>1842</v>
      </c>
      <c r="Q146" t="s">
        <v>176</v>
      </c>
    </row>
    <row r="147" spans="1:17" x14ac:dyDescent="0.35">
      <c r="A147">
        <v>146</v>
      </c>
      <c r="B147" t="s">
        <v>24</v>
      </c>
      <c r="C147" t="s">
        <v>21</v>
      </c>
      <c r="D147" t="s">
        <v>22</v>
      </c>
      <c r="E147" t="s">
        <v>23</v>
      </c>
      <c r="F147">
        <v>42</v>
      </c>
      <c r="G147" s="1">
        <v>45018</v>
      </c>
      <c r="H147">
        <v>8215</v>
      </c>
      <c r="I147">
        <v>4.3</v>
      </c>
      <c r="J147" t="s">
        <v>181</v>
      </c>
      <c r="K147">
        <v>1</v>
      </c>
      <c r="L147">
        <v>3</v>
      </c>
      <c r="M147">
        <v>9</v>
      </c>
      <c r="N147">
        <v>36</v>
      </c>
      <c r="O147">
        <v>12</v>
      </c>
      <c r="P147">
        <v>459</v>
      </c>
      <c r="Q147" t="s">
        <v>175</v>
      </c>
    </row>
    <row r="148" spans="1:17" x14ac:dyDescent="0.35">
      <c r="A148">
        <v>147</v>
      </c>
      <c r="B148" t="s">
        <v>138</v>
      </c>
      <c r="C148" t="s">
        <v>21</v>
      </c>
      <c r="D148" t="s">
        <v>22</v>
      </c>
      <c r="E148" t="s">
        <v>23</v>
      </c>
      <c r="F148">
        <v>43</v>
      </c>
      <c r="G148" s="1">
        <v>44761</v>
      </c>
      <c r="H148">
        <v>5562</v>
      </c>
      <c r="I148">
        <v>2.96</v>
      </c>
      <c r="J148" t="s">
        <v>179</v>
      </c>
      <c r="K148">
        <v>2</v>
      </c>
      <c r="L148">
        <v>4</v>
      </c>
      <c r="M148">
        <v>10</v>
      </c>
      <c r="N148">
        <v>59</v>
      </c>
      <c r="O148">
        <v>15</v>
      </c>
      <c r="P148">
        <v>113</v>
      </c>
      <c r="Q148" t="s">
        <v>175</v>
      </c>
    </row>
    <row r="149" spans="1:17" x14ac:dyDescent="0.35">
      <c r="A149">
        <v>148</v>
      </c>
      <c r="B149" t="s">
        <v>122</v>
      </c>
      <c r="C149" t="s">
        <v>29</v>
      </c>
      <c r="D149" t="s">
        <v>68</v>
      </c>
      <c r="E149" t="s">
        <v>23</v>
      </c>
      <c r="F149">
        <v>42</v>
      </c>
      <c r="G149" s="1">
        <v>44672</v>
      </c>
      <c r="H149">
        <v>9890</v>
      </c>
      <c r="I149">
        <v>4.2300000000000004</v>
      </c>
      <c r="J149" t="s">
        <v>181</v>
      </c>
      <c r="K149">
        <v>1</v>
      </c>
      <c r="L149">
        <v>1</v>
      </c>
      <c r="M149">
        <v>14</v>
      </c>
      <c r="N149">
        <v>19</v>
      </c>
      <c r="O149">
        <v>10</v>
      </c>
      <c r="P149">
        <v>930</v>
      </c>
      <c r="Q149" t="s">
        <v>175</v>
      </c>
    </row>
    <row r="150" spans="1:17" x14ac:dyDescent="0.35">
      <c r="A150">
        <v>149</v>
      </c>
      <c r="B150" t="s">
        <v>139</v>
      </c>
      <c r="C150" t="s">
        <v>17</v>
      </c>
      <c r="D150" t="s">
        <v>71</v>
      </c>
      <c r="E150" t="s">
        <v>23</v>
      </c>
      <c r="F150">
        <v>41</v>
      </c>
      <c r="G150" s="1">
        <v>45159</v>
      </c>
      <c r="H150">
        <v>7618</v>
      </c>
      <c r="I150">
        <v>3.05</v>
      </c>
      <c r="J150" t="s">
        <v>179</v>
      </c>
      <c r="K150">
        <v>2</v>
      </c>
      <c r="L150">
        <v>4</v>
      </c>
      <c r="M150">
        <v>4</v>
      </c>
      <c r="N150">
        <v>29</v>
      </c>
      <c r="O150">
        <v>38</v>
      </c>
      <c r="P150">
        <v>865</v>
      </c>
      <c r="Q150" t="s">
        <v>175</v>
      </c>
    </row>
    <row r="151" spans="1:17" x14ac:dyDescent="0.35">
      <c r="A151">
        <v>150</v>
      </c>
      <c r="B151" t="s">
        <v>140</v>
      </c>
      <c r="C151" t="s">
        <v>36</v>
      </c>
      <c r="D151" t="s">
        <v>37</v>
      </c>
      <c r="E151" t="s">
        <v>19</v>
      </c>
      <c r="F151">
        <v>38</v>
      </c>
      <c r="G151" s="1">
        <v>45350</v>
      </c>
      <c r="H151">
        <v>11319</v>
      </c>
      <c r="I151">
        <v>3.82</v>
      </c>
      <c r="J151" t="s">
        <v>181</v>
      </c>
      <c r="K151">
        <v>3</v>
      </c>
      <c r="L151">
        <v>1</v>
      </c>
      <c r="M151">
        <v>18</v>
      </c>
      <c r="N151">
        <v>7</v>
      </c>
      <c r="O151">
        <v>3</v>
      </c>
      <c r="P151">
        <v>1797</v>
      </c>
      <c r="Q151" t="s">
        <v>176</v>
      </c>
    </row>
    <row r="152" spans="1:17" x14ac:dyDescent="0.35">
      <c r="A152">
        <v>151</v>
      </c>
      <c r="B152" t="s">
        <v>141</v>
      </c>
      <c r="C152" t="s">
        <v>21</v>
      </c>
      <c r="D152" t="s">
        <v>63</v>
      </c>
      <c r="E152" t="s">
        <v>23</v>
      </c>
      <c r="F152">
        <v>25</v>
      </c>
      <c r="G152" s="1">
        <v>45171</v>
      </c>
      <c r="H152">
        <v>7365</v>
      </c>
      <c r="I152">
        <v>4.29</v>
      </c>
      <c r="J152" t="s">
        <v>181</v>
      </c>
      <c r="K152">
        <v>4</v>
      </c>
      <c r="L152">
        <v>1</v>
      </c>
      <c r="M152">
        <v>16</v>
      </c>
      <c r="N152">
        <v>28</v>
      </c>
      <c r="O152">
        <v>3</v>
      </c>
      <c r="P152">
        <v>1028</v>
      </c>
      <c r="Q152" t="s">
        <v>177</v>
      </c>
    </row>
    <row r="153" spans="1:17" x14ac:dyDescent="0.35">
      <c r="A153">
        <v>152</v>
      </c>
      <c r="B153" t="s">
        <v>142</v>
      </c>
      <c r="C153" t="s">
        <v>25</v>
      </c>
      <c r="D153" t="s">
        <v>44</v>
      </c>
      <c r="E153" t="s">
        <v>23</v>
      </c>
      <c r="F153">
        <v>43</v>
      </c>
      <c r="G153" s="1">
        <v>45203</v>
      </c>
      <c r="H153">
        <v>9049</v>
      </c>
      <c r="I153">
        <v>4.3099999999999996</v>
      </c>
      <c r="J153" t="s">
        <v>181</v>
      </c>
      <c r="K153">
        <v>4</v>
      </c>
      <c r="L153">
        <v>3</v>
      </c>
      <c r="M153">
        <v>0</v>
      </c>
      <c r="N153">
        <v>47</v>
      </c>
      <c r="O153">
        <v>13</v>
      </c>
      <c r="P153">
        <v>1284</v>
      </c>
      <c r="Q153" t="s">
        <v>177</v>
      </c>
    </row>
    <row r="154" spans="1:17" x14ac:dyDescent="0.35">
      <c r="A154">
        <v>153</v>
      </c>
      <c r="B154" t="s">
        <v>128</v>
      </c>
      <c r="C154" t="s">
        <v>39</v>
      </c>
      <c r="D154" t="s">
        <v>40</v>
      </c>
      <c r="E154" t="s">
        <v>19</v>
      </c>
      <c r="F154">
        <v>37</v>
      </c>
      <c r="G154" s="1">
        <v>43286</v>
      </c>
      <c r="H154">
        <v>4519</v>
      </c>
      <c r="I154">
        <v>3.22</v>
      </c>
      <c r="J154" t="s">
        <v>179</v>
      </c>
      <c r="K154">
        <v>2</v>
      </c>
      <c r="L154">
        <v>2</v>
      </c>
      <c r="M154">
        <v>20</v>
      </c>
      <c r="N154">
        <v>46</v>
      </c>
      <c r="O154">
        <v>26</v>
      </c>
      <c r="P154">
        <v>866</v>
      </c>
      <c r="Q154" t="s">
        <v>175</v>
      </c>
    </row>
    <row r="155" spans="1:17" x14ac:dyDescent="0.35">
      <c r="A155">
        <v>154</v>
      </c>
      <c r="B155" t="s">
        <v>107</v>
      </c>
      <c r="C155" t="s">
        <v>36</v>
      </c>
      <c r="D155" t="s">
        <v>37</v>
      </c>
      <c r="E155" t="s">
        <v>19</v>
      </c>
      <c r="F155">
        <v>42</v>
      </c>
      <c r="G155" s="1">
        <v>44938</v>
      </c>
      <c r="H155">
        <v>9697</v>
      </c>
      <c r="I155">
        <v>2.8</v>
      </c>
      <c r="J155" t="s">
        <v>179</v>
      </c>
      <c r="K155">
        <v>5</v>
      </c>
      <c r="L155">
        <v>4</v>
      </c>
      <c r="M155">
        <v>16</v>
      </c>
      <c r="N155">
        <v>8</v>
      </c>
      <c r="O155">
        <v>14</v>
      </c>
      <c r="P155">
        <v>1809</v>
      </c>
      <c r="Q155" t="s">
        <v>176</v>
      </c>
    </row>
    <row r="156" spans="1:17" x14ac:dyDescent="0.35">
      <c r="A156">
        <v>155</v>
      </c>
      <c r="B156" t="s">
        <v>125</v>
      </c>
      <c r="C156" t="s">
        <v>39</v>
      </c>
      <c r="D156" t="s">
        <v>61</v>
      </c>
      <c r="E156" t="s">
        <v>23</v>
      </c>
      <c r="F156">
        <v>48</v>
      </c>
      <c r="G156" s="1">
        <v>43194</v>
      </c>
      <c r="H156">
        <v>7762</v>
      </c>
      <c r="I156">
        <v>3.12</v>
      </c>
      <c r="J156" t="s">
        <v>179</v>
      </c>
      <c r="K156">
        <v>3</v>
      </c>
      <c r="L156">
        <v>2</v>
      </c>
      <c r="M156">
        <v>8</v>
      </c>
      <c r="N156">
        <v>12</v>
      </c>
      <c r="O156">
        <v>7</v>
      </c>
      <c r="P156">
        <v>165</v>
      </c>
      <c r="Q156" t="s">
        <v>175</v>
      </c>
    </row>
    <row r="157" spans="1:17" x14ac:dyDescent="0.35">
      <c r="A157">
        <v>156</v>
      </c>
      <c r="B157" t="s">
        <v>143</v>
      </c>
      <c r="C157" t="s">
        <v>17</v>
      </c>
      <c r="D157" t="s">
        <v>18</v>
      </c>
      <c r="E157" t="s">
        <v>19</v>
      </c>
      <c r="F157">
        <v>25</v>
      </c>
      <c r="G157" s="1">
        <v>44818</v>
      </c>
      <c r="H157">
        <v>13731</v>
      </c>
      <c r="I157">
        <v>2.58</v>
      </c>
      <c r="J157" t="s">
        <v>193</v>
      </c>
      <c r="K157">
        <v>5</v>
      </c>
      <c r="L157">
        <v>1</v>
      </c>
      <c r="M157">
        <v>7</v>
      </c>
      <c r="N157">
        <v>47</v>
      </c>
      <c r="O157">
        <v>2</v>
      </c>
      <c r="P157">
        <v>923</v>
      </c>
      <c r="Q157" t="s">
        <v>175</v>
      </c>
    </row>
    <row r="158" spans="1:17" x14ac:dyDescent="0.35">
      <c r="A158">
        <v>157</v>
      </c>
      <c r="B158" t="s">
        <v>144</v>
      </c>
      <c r="C158" t="s">
        <v>36</v>
      </c>
      <c r="D158" t="s">
        <v>50</v>
      </c>
      <c r="E158" t="s">
        <v>19</v>
      </c>
      <c r="F158">
        <v>48</v>
      </c>
      <c r="G158" s="1">
        <v>44060</v>
      </c>
      <c r="H158">
        <v>13438</v>
      </c>
      <c r="I158">
        <v>3.3</v>
      </c>
      <c r="J158" t="s">
        <v>179</v>
      </c>
      <c r="K158">
        <v>5</v>
      </c>
      <c r="L158">
        <v>3</v>
      </c>
      <c r="M158">
        <v>7</v>
      </c>
      <c r="N158">
        <v>19</v>
      </c>
      <c r="O158">
        <v>9</v>
      </c>
      <c r="P158">
        <v>1452</v>
      </c>
      <c r="Q158" t="s">
        <v>177</v>
      </c>
    </row>
    <row r="159" spans="1:17" x14ac:dyDescent="0.35">
      <c r="A159">
        <v>158</v>
      </c>
      <c r="B159" t="s">
        <v>145</v>
      </c>
      <c r="C159" t="s">
        <v>21</v>
      </c>
      <c r="D159" t="s">
        <v>22</v>
      </c>
      <c r="E159" t="s">
        <v>23</v>
      </c>
      <c r="F159">
        <v>39</v>
      </c>
      <c r="G159" s="1">
        <v>44006</v>
      </c>
      <c r="H159">
        <v>12120</v>
      </c>
      <c r="I159">
        <v>2.62</v>
      </c>
      <c r="J159" t="s">
        <v>193</v>
      </c>
      <c r="K159">
        <v>3</v>
      </c>
      <c r="L159">
        <v>4</v>
      </c>
      <c r="M159">
        <v>16</v>
      </c>
      <c r="N159">
        <v>20</v>
      </c>
      <c r="O159">
        <v>26</v>
      </c>
      <c r="P159">
        <v>936</v>
      </c>
      <c r="Q159" t="s">
        <v>175</v>
      </c>
    </row>
    <row r="160" spans="1:17" x14ac:dyDescent="0.35">
      <c r="A160">
        <v>159</v>
      </c>
      <c r="B160" t="s">
        <v>64</v>
      </c>
      <c r="C160" t="s">
        <v>25</v>
      </c>
      <c r="D160" t="s">
        <v>32</v>
      </c>
      <c r="E160" t="s">
        <v>19</v>
      </c>
      <c r="F160">
        <v>31</v>
      </c>
      <c r="G160" s="1">
        <v>44329</v>
      </c>
      <c r="H160">
        <v>6365</v>
      </c>
      <c r="I160">
        <v>4.51</v>
      </c>
      <c r="J160" t="s">
        <v>180</v>
      </c>
      <c r="K160">
        <v>1</v>
      </c>
      <c r="L160">
        <v>5</v>
      </c>
      <c r="M160">
        <v>13</v>
      </c>
      <c r="N160">
        <v>26</v>
      </c>
      <c r="O160">
        <v>35</v>
      </c>
      <c r="P160">
        <v>1185</v>
      </c>
      <c r="Q160" t="s">
        <v>177</v>
      </c>
    </row>
    <row r="161" spans="1:17" x14ac:dyDescent="0.35">
      <c r="A161">
        <v>160</v>
      </c>
      <c r="B161" t="s">
        <v>58</v>
      </c>
      <c r="C161" t="s">
        <v>25</v>
      </c>
      <c r="D161" t="s">
        <v>26</v>
      </c>
      <c r="E161" t="s">
        <v>23</v>
      </c>
      <c r="F161">
        <v>24</v>
      </c>
      <c r="G161" s="1">
        <v>44691</v>
      </c>
      <c r="H161">
        <v>12775</v>
      </c>
      <c r="I161">
        <v>4.3099999999999996</v>
      </c>
      <c r="J161" t="s">
        <v>181</v>
      </c>
      <c r="K161">
        <v>2</v>
      </c>
      <c r="L161">
        <v>1</v>
      </c>
      <c r="M161">
        <v>8</v>
      </c>
      <c r="N161">
        <v>24</v>
      </c>
      <c r="O161">
        <v>38</v>
      </c>
      <c r="P161">
        <v>1334</v>
      </c>
      <c r="Q161" t="s">
        <v>177</v>
      </c>
    </row>
    <row r="162" spans="1:17" x14ac:dyDescent="0.35">
      <c r="A162">
        <v>161</v>
      </c>
      <c r="B162" t="s">
        <v>140</v>
      </c>
      <c r="C162" t="s">
        <v>39</v>
      </c>
      <c r="D162" t="s">
        <v>61</v>
      </c>
      <c r="E162" t="s">
        <v>19</v>
      </c>
      <c r="F162">
        <v>49</v>
      </c>
      <c r="G162" s="1">
        <v>43399</v>
      </c>
      <c r="H162">
        <v>9455</v>
      </c>
      <c r="I162">
        <v>3.26</v>
      </c>
      <c r="J162" t="s">
        <v>179</v>
      </c>
      <c r="K162">
        <v>1</v>
      </c>
      <c r="L162">
        <v>2</v>
      </c>
      <c r="M162">
        <v>6</v>
      </c>
      <c r="N162">
        <v>47</v>
      </c>
      <c r="O162">
        <v>7</v>
      </c>
      <c r="P162">
        <v>1629</v>
      </c>
      <c r="Q162" t="s">
        <v>176</v>
      </c>
    </row>
    <row r="163" spans="1:17" x14ac:dyDescent="0.35">
      <c r="A163">
        <v>162</v>
      </c>
      <c r="B163" t="s">
        <v>75</v>
      </c>
      <c r="C163" t="s">
        <v>36</v>
      </c>
      <c r="D163" t="s">
        <v>37</v>
      </c>
      <c r="E163" t="s">
        <v>23</v>
      </c>
      <c r="F163">
        <v>46</v>
      </c>
      <c r="G163" s="1">
        <v>44094</v>
      </c>
      <c r="H163">
        <v>8637</v>
      </c>
      <c r="I163">
        <v>3.45</v>
      </c>
      <c r="J163" t="s">
        <v>179</v>
      </c>
      <c r="K163">
        <v>5</v>
      </c>
      <c r="L163">
        <v>3</v>
      </c>
      <c r="M163">
        <v>9</v>
      </c>
      <c r="N163">
        <v>16</v>
      </c>
      <c r="O163">
        <v>23</v>
      </c>
      <c r="P163">
        <v>1150</v>
      </c>
      <c r="Q163" t="s">
        <v>177</v>
      </c>
    </row>
    <row r="164" spans="1:17" x14ac:dyDescent="0.35">
      <c r="A164">
        <v>163</v>
      </c>
      <c r="B164" t="s">
        <v>146</v>
      </c>
      <c r="C164" t="s">
        <v>36</v>
      </c>
      <c r="D164" t="s">
        <v>50</v>
      </c>
      <c r="E164" t="s">
        <v>23</v>
      </c>
      <c r="F164">
        <v>35</v>
      </c>
      <c r="G164" s="1">
        <v>45009</v>
      </c>
      <c r="H164">
        <v>4749</v>
      </c>
      <c r="I164">
        <v>3.91</v>
      </c>
      <c r="J164" t="s">
        <v>181</v>
      </c>
      <c r="K164">
        <v>2</v>
      </c>
      <c r="L164">
        <v>2</v>
      </c>
      <c r="M164">
        <v>0</v>
      </c>
      <c r="N164">
        <v>16</v>
      </c>
      <c r="O164">
        <v>35</v>
      </c>
      <c r="P164">
        <v>1296</v>
      </c>
      <c r="Q164" t="s">
        <v>177</v>
      </c>
    </row>
    <row r="165" spans="1:17" x14ac:dyDescent="0.35">
      <c r="A165">
        <v>164</v>
      </c>
      <c r="B165" t="s">
        <v>74</v>
      </c>
      <c r="C165" t="s">
        <v>21</v>
      </c>
      <c r="D165" t="s">
        <v>22</v>
      </c>
      <c r="E165" t="s">
        <v>23</v>
      </c>
      <c r="F165">
        <v>40</v>
      </c>
      <c r="G165" s="1">
        <v>44811</v>
      </c>
      <c r="H165">
        <v>8026</v>
      </c>
      <c r="I165">
        <v>3.75</v>
      </c>
      <c r="J165" t="s">
        <v>181</v>
      </c>
      <c r="K165">
        <v>3</v>
      </c>
      <c r="L165">
        <v>3</v>
      </c>
      <c r="M165">
        <v>15</v>
      </c>
      <c r="N165">
        <v>46</v>
      </c>
      <c r="O165">
        <v>31</v>
      </c>
      <c r="P165">
        <v>1043</v>
      </c>
      <c r="Q165" t="s">
        <v>177</v>
      </c>
    </row>
    <row r="166" spans="1:17" x14ac:dyDescent="0.35">
      <c r="A166">
        <v>165</v>
      </c>
      <c r="B166" t="s">
        <v>95</v>
      </c>
      <c r="C166" t="s">
        <v>25</v>
      </c>
      <c r="D166" t="s">
        <v>44</v>
      </c>
      <c r="E166" t="s">
        <v>19</v>
      </c>
      <c r="F166">
        <v>38</v>
      </c>
      <c r="G166" s="1">
        <v>44543</v>
      </c>
      <c r="H166">
        <v>4554</v>
      </c>
      <c r="I166">
        <v>4.5999999999999996</v>
      </c>
      <c r="J166" t="s">
        <v>180</v>
      </c>
      <c r="K166">
        <v>1</v>
      </c>
      <c r="L166">
        <v>1</v>
      </c>
      <c r="M166">
        <v>0</v>
      </c>
      <c r="N166">
        <v>26</v>
      </c>
      <c r="O166">
        <v>8</v>
      </c>
      <c r="P166">
        <v>1825</v>
      </c>
      <c r="Q166" t="s">
        <v>176</v>
      </c>
    </row>
    <row r="167" spans="1:17" x14ac:dyDescent="0.35">
      <c r="A167">
        <v>166</v>
      </c>
      <c r="B167" t="s">
        <v>143</v>
      </c>
      <c r="C167" t="s">
        <v>17</v>
      </c>
      <c r="D167" t="s">
        <v>71</v>
      </c>
      <c r="E167" t="s">
        <v>23</v>
      </c>
      <c r="F167">
        <v>23</v>
      </c>
      <c r="G167" s="1">
        <v>44048</v>
      </c>
      <c r="H167">
        <v>14122</v>
      </c>
      <c r="I167">
        <v>4.09</v>
      </c>
      <c r="J167" t="s">
        <v>181</v>
      </c>
      <c r="K167">
        <v>5</v>
      </c>
      <c r="L167">
        <v>4</v>
      </c>
      <c r="M167">
        <v>15</v>
      </c>
      <c r="N167">
        <v>1</v>
      </c>
      <c r="O167">
        <v>0</v>
      </c>
      <c r="P167">
        <v>1189</v>
      </c>
      <c r="Q167" t="s">
        <v>177</v>
      </c>
    </row>
    <row r="168" spans="1:17" x14ac:dyDescent="0.35">
      <c r="A168">
        <v>167</v>
      </c>
      <c r="B168" t="s">
        <v>31</v>
      </c>
      <c r="C168" t="s">
        <v>21</v>
      </c>
      <c r="D168" t="s">
        <v>63</v>
      </c>
      <c r="E168" t="s">
        <v>19</v>
      </c>
      <c r="F168">
        <v>38</v>
      </c>
      <c r="G168" s="1">
        <v>44785</v>
      </c>
      <c r="H168">
        <v>11054</v>
      </c>
      <c r="I168">
        <v>4.5199999999999996</v>
      </c>
      <c r="J168" t="s">
        <v>180</v>
      </c>
      <c r="K168">
        <v>2</v>
      </c>
      <c r="L168">
        <v>1</v>
      </c>
      <c r="M168">
        <v>3</v>
      </c>
      <c r="N168">
        <v>33</v>
      </c>
      <c r="O168">
        <v>9</v>
      </c>
      <c r="P168">
        <v>593</v>
      </c>
      <c r="Q168" t="s">
        <v>175</v>
      </c>
    </row>
    <row r="169" spans="1:17" x14ac:dyDescent="0.35">
      <c r="A169">
        <v>168</v>
      </c>
      <c r="B169" t="s">
        <v>147</v>
      </c>
      <c r="C169" t="s">
        <v>25</v>
      </c>
      <c r="D169" t="s">
        <v>26</v>
      </c>
      <c r="E169" t="s">
        <v>19</v>
      </c>
      <c r="F169">
        <v>33</v>
      </c>
      <c r="G169" s="1">
        <v>45639</v>
      </c>
      <c r="H169">
        <v>10652</v>
      </c>
      <c r="I169">
        <v>3.65</v>
      </c>
      <c r="J169" t="s">
        <v>181</v>
      </c>
      <c r="K169">
        <v>2</v>
      </c>
      <c r="L169">
        <v>2</v>
      </c>
      <c r="M169">
        <v>9</v>
      </c>
      <c r="N169">
        <v>43</v>
      </c>
      <c r="O169">
        <v>5</v>
      </c>
      <c r="P169">
        <v>1438</v>
      </c>
      <c r="Q169" t="s">
        <v>177</v>
      </c>
    </row>
    <row r="170" spans="1:17" x14ac:dyDescent="0.35">
      <c r="A170">
        <v>169</v>
      </c>
      <c r="B170" t="s">
        <v>148</v>
      </c>
      <c r="C170" t="s">
        <v>17</v>
      </c>
      <c r="D170" t="s">
        <v>71</v>
      </c>
      <c r="E170" t="s">
        <v>19</v>
      </c>
      <c r="F170">
        <v>42</v>
      </c>
      <c r="G170" s="1">
        <v>43230</v>
      </c>
      <c r="H170">
        <v>4154</v>
      </c>
      <c r="I170">
        <v>4.26</v>
      </c>
      <c r="J170" t="s">
        <v>181</v>
      </c>
      <c r="K170">
        <v>1</v>
      </c>
      <c r="L170">
        <v>4</v>
      </c>
      <c r="M170">
        <v>13</v>
      </c>
      <c r="N170">
        <v>41</v>
      </c>
      <c r="O170">
        <v>21</v>
      </c>
      <c r="P170">
        <v>1258</v>
      </c>
      <c r="Q170" t="s">
        <v>177</v>
      </c>
    </row>
    <row r="171" spans="1:17" x14ac:dyDescent="0.35">
      <c r="A171">
        <v>170</v>
      </c>
      <c r="B171" t="s">
        <v>16</v>
      </c>
      <c r="C171" t="s">
        <v>39</v>
      </c>
      <c r="D171" t="s">
        <v>61</v>
      </c>
      <c r="E171" t="s">
        <v>23</v>
      </c>
      <c r="F171">
        <v>23</v>
      </c>
      <c r="G171" s="1">
        <v>45264</v>
      </c>
      <c r="H171">
        <v>5218</v>
      </c>
      <c r="I171">
        <v>4.21</v>
      </c>
      <c r="J171" t="s">
        <v>181</v>
      </c>
      <c r="K171">
        <v>3</v>
      </c>
      <c r="L171">
        <v>5</v>
      </c>
      <c r="M171">
        <v>18</v>
      </c>
      <c r="N171">
        <v>42</v>
      </c>
      <c r="O171">
        <v>2</v>
      </c>
      <c r="P171">
        <v>467</v>
      </c>
      <c r="Q171" t="s">
        <v>175</v>
      </c>
    </row>
    <row r="172" spans="1:17" x14ac:dyDescent="0.35">
      <c r="A172">
        <v>171</v>
      </c>
      <c r="B172" t="s">
        <v>149</v>
      </c>
      <c r="C172" t="s">
        <v>29</v>
      </c>
      <c r="D172" t="s">
        <v>30</v>
      </c>
      <c r="E172" t="s">
        <v>19</v>
      </c>
      <c r="F172">
        <v>31</v>
      </c>
      <c r="G172" s="1">
        <v>43165</v>
      </c>
      <c r="H172">
        <v>6661</v>
      </c>
      <c r="I172">
        <v>3.91</v>
      </c>
      <c r="J172" t="s">
        <v>181</v>
      </c>
      <c r="K172">
        <v>5</v>
      </c>
      <c r="L172">
        <v>4</v>
      </c>
      <c r="M172">
        <v>17</v>
      </c>
      <c r="N172">
        <v>21</v>
      </c>
      <c r="O172">
        <v>24</v>
      </c>
      <c r="P172">
        <v>1647</v>
      </c>
      <c r="Q172" t="s">
        <v>176</v>
      </c>
    </row>
    <row r="173" spans="1:17" x14ac:dyDescent="0.35">
      <c r="A173">
        <v>172</v>
      </c>
      <c r="B173" t="s">
        <v>128</v>
      </c>
      <c r="C173" t="s">
        <v>17</v>
      </c>
      <c r="D173" t="s">
        <v>71</v>
      </c>
      <c r="E173" t="s">
        <v>19</v>
      </c>
      <c r="F173">
        <v>25</v>
      </c>
      <c r="G173" s="1">
        <v>43674</v>
      </c>
      <c r="H173">
        <v>11161</v>
      </c>
      <c r="I173">
        <v>3.08</v>
      </c>
      <c r="J173" t="s">
        <v>179</v>
      </c>
      <c r="K173">
        <v>1</v>
      </c>
      <c r="L173">
        <v>3</v>
      </c>
      <c r="M173">
        <v>19</v>
      </c>
      <c r="N173">
        <v>49</v>
      </c>
      <c r="O173">
        <v>39</v>
      </c>
      <c r="P173">
        <v>1319</v>
      </c>
      <c r="Q173" t="s">
        <v>177</v>
      </c>
    </row>
    <row r="174" spans="1:17" x14ac:dyDescent="0.35">
      <c r="A174">
        <v>173</v>
      </c>
      <c r="B174" t="s">
        <v>76</v>
      </c>
      <c r="C174" t="s">
        <v>36</v>
      </c>
      <c r="D174" t="s">
        <v>37</v>
      </c>
      <c r="E174" t="s">
        <v>23</v>
      </c>
      <c r="F174">
        <v>39</v>
      </c>
      <c r="G174" s="1">
        <v>44437</v>
      </c>
      <c r="H174">
        <v>10150</v>
      </c>
      <c r="I174">
        <v>3.58</v>
      </c>
      <c r="J174" t="s">
        <v>181</v>
      </c>
      <c r="K174">
        <v>5</v>
      </c>
      <c r="L174">
        <v>4</v>
      </c>
      <c r="M174">
        <v>2</v>
      </c>
      <c r="N174">
        <v>49</v>
      </c>
      <c r="O174">
        <v>39</v>
      </c>
      <c r="P174">
        <v>704</v>
      </c>
      <c r="Q174" t="s">
        <v>175</v>
      </c>
    </row>
    <row r="175" spans="1:17" x14ac:dyDescent="0.35">
      <c r="A175">
        <v>174</v>
      </c>
      <c r="B175" t="s">
        <v>78</v>
      </c>
      <c r="C175" t="s">
        <v>25</v>
      </c>
      <c r="D175" t="s">
        <v>44</v>
      </c>
      <c r="E175" t="s">
        <v>23</v>
      </c>
      <c r="F175">
        <v>32</v>
      </c>
      <c r="G175" s="1">
        <v>43402</v>
      </c>
      <c r="H175">
        <v>9909</v>
      </c>
      <c r="I175">
        <v>2.77</v>
      </c>
      <c r="J175" t="s">
        <v>179</v>
      </c>
      <c r="K175">
        <v>1</v>
      </c>
      <c r="L175">
        <v>3</v>
      </c>
      <c r="M175">
        <v>14</v>
      </c>
      <c r="N175">
        <v>23</v>
      </c>
      <c r="O175">
        <v>17</v>
      </c>
      <c r="P175">
        <v>309</v>
      </c>
      <c r="Q175" t="s">
        <v>175</v>
      </c>
    </row>
    <row r="176" spans="1:17" x14ac:dyDescent="0.35">
      <c r="A176">
        <v>175</v>
      </c>
      <c r="B176" t="s">
        <v>150</v>
      </c>
      <c r="C176" t="s">
        <v>25</v>
      </c>
      <c r="D176" t="s">
        <v>44</v>
      </c>
      <c r="E176" t="s">
        <v>23</v>
      </c>
      <c r="F176">
        <v>25</v>
      </c>
      <c r="G176" s="1">
        <v>43458</v>
      </c>
      <c r="H176">
        <v>4430</v>
      </c>
      <c r="I176">
        <v>2.72</v>
      </c>
      <c r="J176" t="s">
        <v>179</v>
      </c>
      <c r="K176">
        <v>5</v>
      </c>
      <c r="L176">
        <v>1</v>
      </c>
      <c r="M176">
        <v>19</v>
      </c>
      <c r="N176">
        <v>38</v>
      </c>
      <c r="O176">
        <v>20</v>
      </c>
      <c r="P176">
        <v>1868</v>
      </c>
      <c r="Q176" t="s">
        <v>176</v>
      </c>
    </row>
    <row r="177" spans="1:17" x14ac:dyDescent="0.35">
      <c r="A177">
        <v>176</v>
      </c>
      <c r="B177" t="s">
        <v>97</v>
      </c>
      <c r="C177" t="s">
        <v>36</v>
      </c>
      <c r="D177" t="s">
        <v>37</v>
      </c>
      <c r="E177" t="s">
        <v>19</v>
      </c>
      <c r="F177">
        <v>43</v>
      </c>
      <c r="G177" s="1">
        <v>43151</v>
      </c>
      <c r="H177">
        <v>10237</v>
      </c>
      <c r="I177">
        <v>2.92</v>
      </c>
      <c r="J177" t="s">
        <v>179</v>
      </c>
      <c r="K177">
        <v>3</v>
      </c>
      <c r="L177">
        <v>3</v>
      </c>
      <c r="M177">
        <v>8</v>
      </c>
      <c r="N177">
        <v>31</v>
      </c>
      <c r="O177">
        <v>9</v>
      </c>
      <c r="P177">
        <v>229</v>
      </c>
      <c r="Q177" t="s">
        <v>175</v>
      </c>
    </row>
    <row r="178" spans="1:17" x14ac:dyDescent="0.35">
      <c r="A178">
        <v>177</v>
      </c>
      <c r="B178" t="s">
        <v>123</v>
      </c>
      <c r="C178" t="s">
        <v>25</v>
      </c>
      <c r="D178" t="s">
        <v>32</v>
      </c>
      <c r="E178" t="s">
        <v>23</v>
      </c>
      <c r="F178">
        <v>30</v>
      </c>
      <c r="G178" s="1">
        <v>44881</v>
      </c>
      <c r="H178">
        <v>8040</v>
      </c>
      <c r="I178">
        <v>4.3</v>
      </c>
      <c r="J178" t="s">
        <v>181</v>
      </c>
      <c r="K178">
        <v>4</v>
      </c>
      <c r="L178">
        <v>5</v>
      </c>
      <c r="M178">
        <v>19</v>
      </c>
      <c r="N178">
        <v>12</v>
      </c>
      <c r="O178">
        <v>29</v>
      </c>
      <c r="P178">
        <v>319</v>
      </c>
      <c r="Q178" t="s">
        <v>175</v>
      </c>
    </row>
    <row r="179" spans="1:17" x14ac:dyDescent="0.35">
      <c r="A179">
        <v>178</v>
      </c>
      <c r="B179" t="s">
        <v>110</v>
      </c>
      <c r="C179" t="s">
        <v>25</v>
      </c>
      <c r="D179" t="s">
        <v>26</v>
      </c>
      <c r="E179" t="s">
        <v>23</v>
      </c>
      <c r="F179">
        <v>36</v>
      </c>
      <c r="G179" s="1">
        <v>44348</v>
      </c>
      <c r="H179">
        <v>9484</v>
      </c>
      <c r="I179">
        <v>3.58</v>
      </c>
      <c r="J179" t="s">
        <v>181</v>
      </c>
      <c r="K179">
        <v>5</v>
      </c>
      <c r="L179">
        <v>2</v>
      </c>
      <c r="M179">
        <v>9</v>
      </c>
      <c r="N179">
        <v>20</v>
      </c>
      <c r="O179">
        <v>38</v>
      </c>
      <c r="P179">
        <v>1523</v>
      </c>
      <c r="Q179" t="s">
        <v>176</v>
      </c>
    </row>
    <row r="180" spans="1:17" x14ac:dyDescent="0.35">
      <c r="A180">
        <v>179</v>
      </c>
      <c r="B180" t="s">
        <v>151</v>
      </c>
      <c r="C180" t="s">
        <v>25</v>
      </c>
      <c r="D180" t="s">
        <v>26</v>
      </c>
      <c r="E180" t="s">
        <v>23</v>
      </c>
      <c r="F180">
        <v>40</v>
      </c>
      <c r="G180" s="1">
        <v>45063</v>
      </c>
      <c r="H180">
        <v>7971</v>
      </c>
      <c r="I180">
        <v>3.31</v>
      </c>
      <c r="J180" t="s">
        <v>179</v>
      </c>
      <c r="K180">
        <v>3</v>
      </c>
      <c r="L180">
        <v>4</v>
      </c>
      <c r="M180">
        <v>11</v>
      </c>
      <c r="N180">
        <v>7</v>
      </c>
      <c r="O180">
        <v>36</v>
      </c>
      <c r="P180">
        <v>509</v>
      </c>
      <c r="Q180" t="s">
        <v>175</v>
      </c>
    </row>
    <row r="181" spans="1:17" x14ac:dyDescent="0.35">
      <c r="A181">
        <v>180</v>
      </c>
      <c r="B181" t="s">
        <v>152</v>
      </c>
      <c r="C181" t="s">
        <v>21</v>
      </c>
      <c r="D181" t="s">
        <v>22</v>
      </c>
      <c r="E181" t="s">
        <v>23</v>
      </c>
      <c r="F181">
        <v>47</v>
      </c>
      <c r="G181" s="1">
        <v>45335</v>
      </c>
      <c r="H181">
        <v>8773</v>
      </c>
      <c r="I181">
        <v>4.58</v>
      </c>
      <c r="J181" t="s">
        <v>180</v>
      </c>
      <c r="K181">
        <v>1</v>
      </c>
      <c r="L181">
        <v>4</v>
      </c>
      <c r="M181">
        <v>15</v>
      </c>
      <c r="N181">
        <v>8</v>
      </c>
      <c r="O181">
        <v>40</v>
      </c>
      <c r="P181">
        <v>720</v>
      </c>
      <c r="Q181" t="s">
        <v>175</v>
      </c>
    </row>
    <row r="182" spans="1:17" x14ac:dyDescent="0.35">
      <c r="A182">
        <v>181</v>
      </c>
      <c r="B182" t="s">
        <v>153</v>
      </c>
      <c r="C182" t="s">
        <v>25</v>
      </c>
      <c r="D182" t="s">
        <v>32</v>
      </c>
      <c r="E182" t="s">
        <v>23</v>
      </c>
      <c r="F182">
        <v>41</v>
      </c>
      <c r="G182" s="1">
        <v>44135</v>
      </c>
      <c r="H182">
        <v>11851</v>
      </c>
      <c r="I182">
        <v>3.96</v>
      </c>
      <c r="J182" t="s">
        <v>181</v>
      </c>
      <c r="K182">
        <v>5</v>
      </c>
      <c r="L182">
        <v>5</v>
      </c>
      <c r="M182">
        <v>13</v>
      </c>
      <c r="N182">
        <v>34</v>
      </c>
      <c r="O182">
        <v>2</v>
      </c>
      <c r="P182">
        <v>1719</v>
      </c>
      <c r="Q182" t="s">
        <v>176</v>
      </c>
    </row>
    <row r="183" spans="1:17" x14ac:dyDescent="0.35">
      <c r="A183">
        <v>182</v>
      </c>
      <c r="B183" t="s">
        <v>154</v>
      </c>
      <c r="C183" t="s">
        <v>29</v>
      </c>
      <c r="D183" t="s">
        <v>68</v>
      </c>
      <c r="E183" t="s">
        <v>23</v>
      </c>
      <c r="F183">
        <v>27</v>
      </c>
      <c r="G183" s="1">
        <v>45300</v>
      </c>
      <c r="H183">
        <v>14600</v>
      </c>
      <c r="I183">
        <v>4.03</v>
      </c>
      <c r="J183" t="s">
        <v>181</v>
      </c>
      <c r="K183">
        <v>5</v>
      </c>
      <c r="L183">
        <v>4</v>
      </c>
      <c r="M183">
        <v>10</v>
      </c>
      <c r="N183">
        <v>50</v>
      </c>
      <c r="O183">
        <v>27</v>
      </c>
      <c r="P183">
        <v>316</v>
      </c>
      <c r="Q183" t="s">
        <v>175</v>
      </c>
    </row>
    <row r="184" spans="1:17" x14ac:dyDescent="0.35">
      <c r="A184">
        <v>183</v>
      </c>
      <c r="B184" t="s">
        <v>92</v>
      </c>
      <c r="C184" t="s">
        <v>39</v>
      </c>
      <c r="D184" t="s">
        <v>56</v>
      </c>
      <c r="E184" t="s">
        <v>23</v>
      </c>
      <c r="F184">
        <v>33</v>
      </c>
      <c r="G184" s="1">
        <v>43504</v>
      </c>
      <c r="H184">
        <v>10408</v>
      </c>
      <c r="I184">
        <v>3.66</v>
      </c>
      <c r="J184" t="s">
        <v>181</v>
      </c>
      <c r="K184">
        <v>5</v>
      </c>
      <c r="L184">
        <v>5</v>
      </c>
      <c r="M184">
        <v>4</v>
      </c>
      <c r="N184">
        <v>22</v>
      </c>
      <c r="O184">
        <v>1</v>
      </c>
      <c r="P184">
        <v>1088</v>
      </c>
      <c r="Q184" t="s">
        <v>177</v>
      </c>
    </row>
    <row r="185" spans="1:17" x14ac:dyDescent="0.35">
      <c r="A185">
        <v>184</v>
      </c>
      <c r="B185" t="s">
        <v>154</v>
      </c>
      <c r="C185" t="s">
        <v>39</v>
      </c>
      <c r="D185" t="s">
        <v>56</v>
      </c>
      <c r="E185" t="s">
        <v>23</v>
      </c>
      <c r="F185">
        <v>31</v>
      </c>
      <c r="G185" s="1">
        <v>44311</v>
      </c>
      <c r="H185">
        <v>9620</v>
      </c>
      <c r="I185">
        <v>3.64</v>
      </c>
      <c r="J185" t="s">
        <v>181</v>
      </c>
      <c r="K185">
        <v>2</v>
      </c>
      <c r="L185">
        <v>5</v>
      </c>
      <c r="M185">
        <v>15</v>
      </c>
      <c r="N185">
        <v>22</v>
      </c>
      <c r="O185">
        <v>30</v>
      </c>
      <c r="P185">
        <v>299</v>
      </c>
      <c r="Q185" t="s">
        <v>175</v>
      </c>
    </row>
    <row r="186" spans="1:17" x14ac:dyDescent="0.35">
      <c r="A186">
        <v>185</v>
      </c>
      <c r="B186" t="s">
        <v>155</v>
      </c>
      <c r="C186" t="s">
        <v>36</v>
      </c>
      <c r="D186" t="s">
        <v>37</v>
      </c>
      <c r="E186" t="s">
        <v>19</v>
      </c>
      <c r="F186">
        <v>49</v>
      </c>
      <c r="G186" s="1">
        <v>44954</v>
      </c>
      <c r="H186">
        <v>9620</v>
      </c>
      <c r="I186">
        <v>4.12</v>
      </c>
      <c r="J186" t="s">
        <v>181</v>
      </c>
      <c r="K186">
        <v>2</v>
      </c>
      <c r="L186">
        <v>2</v>
      </c>
      <c r="M186">
        <v>16</v>
      </c>
      <c r="N186">
        <v>11</v>
      </c>
      <c r="O186">
        <v>35</v>
      </c>
      <c r="P186">
        <v>427</v>
      </c>
      <c r="Q186" t="s">
        <v>175</v>
      </c>
    </row>
    <row r="187" spans="1:17" x14ac:dyDescent="0.35">
      <c r="A187">
        <v>186</v>
      </c>
      <c r="B187" t="s">
        <v>156</v>
      </c>
      <c r="C187" t="s">
        <v>29</v>
      </c>
      <c r="D187" t="s">
        <v>30</v>
      </c>
      <c r="E187" t="s">
        <v>19</v>
      </c>
      <c r="F187">
        <v>27</v>
      </c>
      <c r="G187" s="1">
        <v>45394</v>
      </c>
      <c r="H187">
        <v>14493</v>
      </c>
      <c r="I187">
        <v>4.1399999999999997</v>
      </c>
      <c r="J187" t="s">
        <v>181</v>
      </c>
      <c r="K187">
        <v>4</v>
      </c>
      <c r="L187">
        <v>1</v>
      </c>
      <c r="M187">
        <v>19</v>
      </c>
      <c r="N187">
        <v>56</v>
      </c>
      <c r="O187">
        <v>12</v>
      </c>
      <c r="P187">
        <v>1020</v>
      </c>
      <c r="Q187" t="s">
        <v>177</v>
      </c>
    </row>
    <row r="188" spans="1:17" x14ac:dyDescent="0.35">
      <c r="A188">
        <v>187</v>
      </c>
      <c r="B188" t="s">
        <v>90</v>
      </c>
      <c r="C188" t="s">
        <v>21</v>
      </c>
      <c r="D188" t="s">
        <v>63</v>
      </c>
      <c r="E188" t="s">
        <v>19</v>
      </c>
      <c r="F188">
        <v>40</v>
      </c>
      <c r="G188" s="1">
        <v>44860</v>
      </c>
      <c r="H188">
        <v>5667</v>
      </c>
      <c r="I188">
        <v>4.5</v>
      </c>
      <c r="J188" t="s">
        <v>181</v>
      </c>
      <c r="K188">
        <v>5</v>
      </c>
      <c r="L188">
        <v>2</v>
      </c>
      <c r="M188">
        <v>11</v>
      </c>
      <c r="N188">
        <v>20</v>
      </c>
      <c r="O188">
        <v>12</v>
      </c>
      <c r="P188">
        <v>1037</v>
      </c>
      <c r="Q188" t="s">
        <v>177</v>
      </c>
    </row>
    <row r="189" spans="1:17" x14ac:dyDescent="0.35">
      <c r="A189">
        <v>188</v>
      </c>
      <c r="B189" t="s">
        <v>157</v>
      </c>
      <c r="C189" t="s">
        <v>39</v>
      </c>
      <c r="D189" t="s">
        <v>46</v>
      </c>
      <c r="E189" t="s">
        <v>23</v>
      </c>
      <c r="F189">
        <v>41</v>
      </c>
      <c r="G189" s="1">
        <v>44175</v>
      </c>
      <c r="H189">
        <v>10431</v>
      </c>
      <c r="I189">
        <v>3.97</v>
      </c>
      <c r="J189" t="s">
        <v>181</v>
      </c>
      <c r="K189">
        <v>3</v>
      </c>
      <c r="L189">
        <v>3</v>
      </c>
      <c r="M189">
        <v>14</v>
      </c>
      <c r="N189">
        <v>39</v>
      </c>
      <c r="O189">
        <v>11</v>
      </c>
      <c r="P189">
        <v>1766</v>
      </c>
      <c r="Q189" t="s">
        <v>176</v>
      </c>
    </row>
    <row r="190" spans="1:17" x14ac:dyDescent="0.35">
      <c r="A190">
        <v>189</v>
      </c>
      <c r="B190" t="s">
        <v>67</v>
      </c>
      <c r="C190" t="s">
        <v>17</v>
      </c>
      <c r="D190" t="s">
        <v>18</v>
      </c>
      <c r="E190" t="s">
        <v>23</v>
      </c>
      <c r="F190">
        <v>25</v>
      </c>
      <c r="G190" s="1">
        <v>44319</v>
      </c>
      <c r="H190">
        <v>7908</v>
      </c>
      <c r="I190">
        <v>3.26</v>
      </c>
      <c r="J190" t="s">
        <v>179</v>
      </c>
      <c r="K190">
        <v>2</v>
      </c>
      <c r="L190">
        <v>3</v>
      </c>
      <c r="M190">
        <v>4</v>
      </c>
      <c r="N190">
        <v>32</v>
      </c>
      <c r="O190">
        <v>24</v>
      </c>
      <c r="P190">
        <v>956</v>
      </c>
      <c r="Q190" t="s">
        <v>175</v>
      </c>
    </row>
    <row r="191" spans="1:17" x14ac:dyDescent="0.35">
      <c r="A191">
        <v>190</v>
      </c>
      <c r="B191" t="s">
        <v>129</v>
      </c>
      <c r="C191" t="s">
        <v>21</v>
      </c>
      <c r="D191" t="s">
        <v>63</v>
      </c>
      <c r="E191" t="s">
        <v>19</v>
      </c>
      <c r="F191">
        <v>39</v>
      </c>
      <c r="G191" s="1">
        <v>43665</v>
      </c>
      <c r="H191">
        <v>6733</v>
      </c>
      <c r="I191">
        <v>3.72</v>
      </c>
      <c r="J191" t="s">
        <v>181</v>
      </c>
      <c r="K191">
        <v>2</v>
      </c>
      <c r="L191">
        <v>2</v>
      </c>
      <c r="M191">
        <v>10</v>
      </c>
      <c r="N191">
        <v>53</v>
      </c>
      <c r="O191">
        <v>28</v>
      </c>
      <c r="P191">
        <v>1368</v>
      </c>
      <c r="Q191" t="s">
        <v>177</v>
      </c>
    </row>
    <row r="192" spans="1:17" x14ac:dyDescent="0.35">
      <c r="A192">
        <v>191</v>
      </c>
      <c r="B192" t="s">
        <v>95</v>
      </c>
      <c r="C192" t="s">
        <v>39</v>
      </c>
      <c r="D192" t="s">
        <v>56</v>
      </c>
      <c r="E192" t="s">
        <v>23</v>
      </c>
      <c r="F192">
        <v>39</v>
      </c>
      <c r="G192" s="1">
        <v>44571</v>
      </c>
      <c r="H192">
        <v>12281</v>
      </c>
      <c r="I192">
        <v>4.13</v>
      </c>
      <c r="J192" t="s">
        <v>181</v>
      </c>
      <c r="K192">
        <v>4</v>
      </c>
      <c r="L192">
        <v>4</v>
      </c>
      <c r="M192">
        <v>13</v>
      </c>
      <c r="N192">
        <v>45</v>
      </c>
      <c r="O192">
        <v>28</v>
      </c>
      <c r="P192">
        <v>1100</v>
      </c>
      <c r="Q192" t="s">
        <v>177</v>
      </c>
    </row>
    <row r="193" spans="1:17" x14ac:dyDescent="0.35">
      <c r="A193">
        <v>192</v>
      </c>
      <c r="B193" t="s">
        <v>77</v>
      </c>
      <c r="C193" t="s">
        <v>25</v>
      </c>
      <c r="D193" t="s">
        <v>32</v>
      </c>
      <c r="E193" t="s">
        <v>23</v>
      </c>
      <c r="F193">
        <v>29</v>
      </c>
      <c r="G193" s="1">
        <v>43439</v>
      </c>
      <c r="H193">
        <v>12808</v>
      </c>
      <c r="I193">
        <v>3.22</v>
      </c>
      <c r="J193" t="s">
        <v>179</v>
      </c>
      <c r="K193">
        <v>4</v>
      </c>
      <c r="L193">
        <v>5</v>
      </c>
      <c r="M193">
        <v>15</v>
      </c>
      <c r="N193">
        <v>35</v>
      </c>
      <c r="O193">
        <v>32</v>
      </c>
      <c r="P193">
        <v>331</v>
      </c>
      <c r="Q193" t="s">
        <v>175</v>
      </c>
    </row>
    <row r="194" spans="1:17" x14ac:dyDescent="0.35">
      <c r="A194">
        <v>193</v>
      </c>
      <c r="B194" t="s">
        <v>87</v>
      </c>
      <c r="C194" t="s">
        <v>21</v>
      </c>
      <c r="D194" t="s">
        <v>22</v>
      </c>
      <c r="E194" t="s">
        <v>23</v>
      </c>
      <c r="F194">
        <v>39</v>
      </c>
      <c r="G194" s="1">
        <v>43568</v>
      </c>
      <c r="H194">
        <v>7580</v>
      </c>
      <c r="I194">
        <v>4.97</v>
      </c>
      <c r="J194" t="s">
        <v>180</v>
      </c>
      <c r="K194">
        <v>1</v>
      </c>
      <c r="L194">
        <v>2</v>
      </c>
      <c r="M194">
        <v>9</v>
      </c>
      <c r="N194">
        <v>55</v>
      </c>
      <c r="O194">
        <v>2</v>
      </c>
      <c r="P194">
        <v>1021</v>
      </c>
      <c r="Q194" t="s">
        <v>177</v>
      </c>
    </row>
    <row r="195" spans="1:17" x14ac:dyDescent="0.35">
      <c r="A195">
        <v>194</v>
      </c>
      <c r="B195" t="s">
        <v>126</v>
      </c>
      <c r="C195" t="s">
        <v>29</v>
      </c>
      <c r="D195" t="s">
        <v>68</v>
      </c>
      <c r="E195" t="s">
        <v>19</v>
      </c>
      <c r="F195">
        <v>28</v>
      </c>
      <c r="G195" s="1">
        <v>44528</v>
      </c>
      <c r="H195">
        <v>13632</v>
      </c>
      <c r="I195">
        <v>4.22</v>
      </c>
      <c r="J195" t="s">
        <v>181</v>
      </c>
      <c r="K195">
        <v>5</v>
      </c>
      <c r="L195">
        <v>4</v>
      </c>
      <c r="M195">
        <v>5</v>
      </c>
      <c r="N195">
        <v>39</v>
      </c>
      <c r="O195">
        <v>8</v>
      </c>
      <c r="P195">
        <v>1707</v>
      </c>
      <c r="Q195" t="s">
        <v>176</v>
      </c>
    </row>
    <row r="196" spans="1:17" x14ac:dyDescent="0.35">
      <c r="A196">
        <v>195</v>
      </c>
      <c r="B196" t="s">
        <v>158</v>
      </c>
      <c r="C196" t="s">
        <v>25</v>
      </c>
      <c r="D196" t="s">
        <v>44</v>
      </c>
      <c r="E196" t="s">
        <v>23</v>
      </c>
      <c r="F196">
        <v>41</v>
      </c>
      <c r="G196" s="1">
        <v>43948</v>
      </c>
      <c r="H196">
        <v>12827</v>
      </c>
      <c r="I196">
        <v>2.92</v>
      </c>
      <c r="J196" t="s">
        <v>179</v>
      </c>
      <c r="K196">
        <v>3</v>
      </c>
      <c r="L196">
        <v>3</v>
      </c>
      <c r="M196">
        <v>18</v>
      </c>
      <c r="N196">
        <v>17</v>
      </c>
      <c r="O196">
        <v>32</v>
      </c>
      <c r="P196">
        <v>1943</v>
      </c>
      <c r="Q196" t="s">
        <v>176</v>
      </c>
    </row>
    <row r="197" spans="1:17" x14ac:dyDescent="0.35">
      <c r="A197">
        <v>196</v>
      </c>
      <c r="B197" t="s">
        <v>108</v>
      </c>
      <c r="C197" t="s">
        <v>17</v>
      </c>
      <c r="D197" t="s">
        <v>18</v>
      </c>
      <c r="E197" t="s">
        <v>19</v>
      </c>
      <c r="F197">
        <v>29</v>
      </c>
      <c r="G197" s="1">
        <v>43491</v>
      </c>
      <c r="H197">
        <v>6396</v>
      </c>
      <c r="I197">
        <v>4.28</v>
      </c>
      <c r="J197" t="s">
        <v>181</v>
      </c>
      <c r="K197">
        <v>2</v>
      </c>
      <c r="L197">
        <v>4</v>
      </c>
      <c r="M197">
        <v>15</v>
      </c>
      <c r="N197">
        <v>9</v>
      </c>
      <c r="O197">
        <v>36</v>
      </c>
      <c r="P197">
        <v>1395</v>
      </c>
      <c r="Q197" t="s">
        <v>177</v>
      </c>
    </row>
    <row r="198" spans="1:17" x14ac:dyDescent="0.35">
      <c r="A198">
        <v>197</v>
      </c>
      <c r="B198" t="s">
        <v>154</v>
      </c>
      <c r="C198" t="s">
        <v>29</v>
      </c>
      <c r="D198" t="s">
        <v>30</v>
      </c>
      <c r="E198" t="s">
        <v>23</v>
      </c>
      <c r="F198">
        <v>44</v>
      </c>
      <c r="G198" s="1">
        <v>44797</v>
      </c>
      <c r="H198">
        <v>10046</v>
      </c>
      <c r="I198">
        <v>3.64</v>
      </c>
      <c r="J198" t="s">
        <v>181</v>
      </c>
      <c r="K198">
        <v>4</v>
      </c>
      <c r="L198">
        <v>3</v>
      </c>
      <c r="M198">
        <v>18</v>
      </c>
      <c r="N198">
        <v>0</v>
      </c>
      <c r="O198">
        <v>5</v>
      </c>
      <c r="P198">
        <v>1596</v>
      </c>
      <c r="Q198" t="s">
        <v>176</v>
      </c>
    </row>
    <row r="199" spans="1:17" x14ac:dyDescent="0.35">
      <c r="A199">
        <v>198</v>
      </c>
      <c r="B199" t="s">
        <v>20</v>
      </c>
      <c r="C199" t="s">
        <v>36</v>
      </c>
      <c r="D199" t="s">
        <v>37</v>
      </c>
      <c r="E199" t="s">
        <v>23</v>
      </c>
      <c r="F199">
        <v>48</v>
      </c>
      <c r="G199" s="1">
        <v>44568</v>
      </c>
      <c r="H199">
        <v>7470</v>
      </c>
      <c r="I199">
        <v>3.74</v>
      </c>
      <c r="J199" t="s">
        <v>181</v>
      </c>
      <c r="K199">
        <v>3</v>
      </c>
      <c r="L199">
        <v>3</v>
      </c>
      <c r="M199">
        <v>10</v>
      </c>
      <c r="N199">
        <v>35</v>
      </c>
      <c r="O199">
        <v>36</v>
      </c>
      <c r="P199">
        <v>367</v>
      </c>
      <c r="Q199" t="s">
        <v>175</v>
      </c>
    </row>
    <row r="200" spans="1:17" x14ac:dyDescent="0.35">
      <c r="A200">
        <v>199</v>
      </c>
      <c r="B200" t="s">
        <v>70</v>
      </c>
      <c r="C200" t="s">
        <v>21</v>
      </c>
      <c r="D200" t="s">
        <v>22</v>
      </c>
      <c r="E200" t="s">
        <v>23</v>
      </c>
      <c r="F200">
        <v>22</v>
      </c>
      <c r="G200" s="1">
        <v>45088</v>
      </c>
      <c r="H200">
        <v>6035</v>
      </c>
      <c r="I200">
        <v>4.82</v>
      </c>
      <c r="J200" t="s">
        <v>180</v>
      </c>
      <c r="K200">
        <v>2</v>
      </c>
      <c r="L200">
        <v>4</v>
      </c>
      <c r="M200">
        <v>14</v>
      </c>
      <c r="N200">
        <v>0</v>
      </c>
      <c r="O200">
        <v>27</v>
      </c>
      <c r="P200">
        <v>514</v>
      </c>
      <c r="Q200" t="s">
        <v>175</v>
      </c>
    </row>
    <row r="201" spans="1:17" x14ac:dyDescent="0.35">
      <c r="A201">
        <v>200</v>
      </c>
      <c r="B201" t="s">
        <v>124</v>
      </c>
      <c r="C201" t="s">
        <v>17</v>
      </c>
      <c r="D201" t="s">
        <v>71</v>
      </c>
      <c r="E201" t="s">
        <v>19</v>
      </c>
      <c r="F201">
        <v>42</v>
      </c>
      <c r="G201" s="1">
        <v>43641</v>
      </c>
      <c r="H201">
        <v>9905</v>
      </c>
      <c r="I201">
        <v>3.13</v>
      </c>
      <c r="J201" t="s">
        <v>179</v>
      </c>
      <c r="K201">
        <v>3</v>
      </c>
      <c r="L201">
        <v>2</v>
      </c>
      <c r="M201">
        <v>1</v>
      </c>
      <c r="N201">
        <v>25</v>
      </c>
      <c r="O201">
        <v>40</v>
      </c>
      <c r="P201">
        <v>725</v>
      </c>
      <c r="Q201" t="s">
        <v>175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CA7A-6950-4BA0-ADA0-AE9F90053674}">
  <dimension ref="A1:Q52"/>
  <sheetViews>
    <sheetView tabSelected="1" zoomScale="90" zoomScaleNormal="90" workbookViewId="0">
      <selection activeCell="A18" sqref="A18"/>
    </sheetView>
  </sheetViews>
  <sheetFormatPr defaultRowHeight="14.5" x14ac:dyDescent="0.35"/>
  <cols>
    <col min="1" max="1" width="30.08984375" bestFit="1" customWidth="1"/>
    <col min="2" max="2" width="12.08984375" bestFit="1" customWidth="1"/>
    <col min="4" max="4" width="17.54296875" bestFit="1" customWidth="1"/>
    <col min="5" max="5" width="20.81640625" bestFit="1" customWidth="1"/>
    <col min="7" max="7" width="35.36328125" bestFit="1" customWidth="1"/>
    <col min="8" max="8" width="25.90625" bestFit="1" customWidth="1"/>
    <col min="9" max="9" width="12.1796875" customWidth="1"/>
    <col min="10" max="10" width="10.08984375" bestFit="1" customWidth="1"/>
    <col min="11" max="11" width="13.90625" bestFit="1" customWidth="1"/>
    <col min="12" max="12" width="21.453125" bestFit="1" customWidth="1"/>
    <col min="13" max="13" width="17.7265625" bestFit="1" customWidth="1"/>
    <col min="14" max="14" width="21.453125" bestFit="1" customWidth="1"/>
    <col min="16" max="16" width="14.08984375" bestFit="1" customWidth="1"/>
    <col min="17" max="17" width="35.36328125" bestFit="1" customWidth="1"/>
    <col min="20" max="20" width="13.90625" bestFit="1" customWidth="1"/>
    <col min="21" max="21" width="22.1796875" bestFit="1" customWidth="1"/>
    <col min="24" max="24" width="13.90625" bestFit="1" customWidth="1"/>
    <col min="25" max="25" width="15.26953125" bestFit="1" customWidth="1"/>
    <col min="26" max="26" width="25.90625" bestFit="1" customWidth="1"/>
    <col min="27" max="27" width="13.90625" bestFit="1" customWidth="1"/>
    <col min="28" max="28" width="25.90625" bestFit="1" customWidth="1"/>
  </cols>
  <sheetData>
    <row r="1" spans="1:17" x14ac:dyDescent="0.35">
      <c r="A1" t="s">
        <v>162</v>
      </c>
      <c r="B1" t="s">
        <v>161</v>
      </c>
    </row>
    <row r="2" spans="1:17" x14ac:dyDescent="0.35">
      <c r="A2" t="s">
        <v>159</v>
      </c>
      <c r="B2">
        <f t="shared" ref="B2" si="0">GETPIVOTDATA("EmployeeID",$D$3)</f>
        <v>200</v>
      </c>
    </row>
    <row r="3" spans="1:17" x14ac:dyDescent="0.35">
      <c r="A3" t="s">
        <v>172</v>
      </c>
      <c r="B3">
        <f>E9</f>
        <v>6</v>
      </c>
      <c r="D3" t="s">
        <v>159</v>
      </c>
      <c r="G3" t="s">
        <v>167</v>
      </c>
    </row>
    <row r="4" spans="1:17" x14ac:dyDescent="0.35">
      <c r="A4" t="s">
        <v>173</v>
      </c>
      <c r="B4">
        <f>E23</f>
        <v>15</v>
      </c>
      <c r="D4">
        <v>200</v>
      </c>
      <c r="G4" s="7">
        <v>3.7721999999999993</v>
      </c>
      <c r="M4" s="3" t="s">
        <v>178</v>
      </c>
      <c r="N4" t="s">
        <v>171</v>
      </c>
      <c r="P4" s="3" t="s">
        <v>178</v>
      </c>
      <c r="Q4" t="s">
        <v>166</v>
      </c>
    </row>
    <row r="5" spans="1:17" x14ac:dyDescent="0.35">
      <c r="A5" t="s">
        <v>165</v>
      </c>
      <c r="B5" s="6">
        <f>E38</f>
        <v>9582.3449999999993</v>
      </c>
      <c r="G5" s="7">
        <f>GETPIVOTDATA("PerformanceScore",$G$3)</f>
        <v>3.7721999999999993</v>
      </c>
      <c r="M5" s="4" t="s">
        <v>180</v>
      </c>
      <c r="N5" s="7">
        <v>9.7142857142857135</v>
      </c>
      <c r="P5" s="4" t="s">
        <v>29</v>
      </c>
      <c r="Q5" s="7">
        <v>10520.258064516129</v>
      </c>
    </row>
    <row r="6" spans="1:17" x14ac:dyDescent="0.35">
      <c r="A6" t="s">
        <v>168</v>
      </c>
      <c r="B6" s="7">
        <f>G5</f>
        <v>3.7721999999999993</v>
      </c>
      <c r="C6" s="2"/>
      <c r="D6" s="5" t="s">
        <v>163</v>
      </c>
      <c r="E6" s="2"/>
      <c r="G6" s="2"/>
      <c r="H6" s="5"/>
      <c r="I6" s="2"/>
      <c r="M6" s="4" t="s">
        <v>179</v>
      </c>
      <c r="N6" s="7">
        <v>10.050000000000001</v>
      </c>
      <c r="P6" s="4" t="s">
        <v>25</v>
      </c>
      <c r="Q6" s="7">
        <v>8840.9090909090901</v>
      </c>
    </row>
    <row r="7" spans="1:17" x14ac:dyDescent="0.35">
      <c r="A7" t="s">
        <v>169</v>
      </c>
      <c r="B7">
        <f>G10</f>
        <v>3.11</v>
      </c>
      <c r="M7" s="4" t="s">
        <v>181</v>
      </c>
      <c r="N7" s="7">
        <v>11.455555555555556</v>
      </c>
      <c r="P7" s="4" t="s">
        <v>39</v>
      </c>
      <c r="Q7" s="7">
        <v>10206.923076923076</v>
      </c>
    </row>
    <row r="8" spans="1:17" x14ac:dyDescent="0.35">
      <c r="A8" t="s">
        <v>170</v>
      </c>
      <c r="B8">
        <f>G16</f>
        <v>2.95</v>
      </c>
      <c r="D8" s="3" t="s">
        <v>160</v>
      </c>
      <c r="G8" t="s">
        <v>169</v>
      </c>
      <c r="M8" s="4" t="s">
        <v>193</v>
      </c>
      <c r="N8" s="7">
        <v>12.4</v>
      </c>
      <c r="P8" s="4" t="s">
        <v>36</v>
      </c>
      <c r="Q8" s="7">
        <v>9669.3589743589746</v>
      </c>
    </row>
    <row r="9" spans="1:17" x14ac:dyDescent="0.35">
      <c r="A9" t="s">
        <v>171</v>
      </c>
      <c r="B9">
        <f>G22</f>
        <v>10.8</v>
      </c>
      <c r="D9" s="4" t="s">
        <v>29</v>
      </c>
      <c r="E9">
        <f>COUNTA(D9:D14)</f>
        <v>6</v>
      </c>
      <c r="G9" s="7">
        <v>3.11</v>
      </c>
      <c r="P9" s="4" t="s">
        <v>17</v>
      </c>
      <c r="Q9" s="7">
        <v>9714.5555555555547</v>
      </c>
    </row>
    <row r="10" spans="1:17" x14ac:dyDescent="0.35">
      <c r="A10" t="s">
        <v>182</v>
      </c>
      <c r="B10" s="10">
        <f>D45</f>
        <v>1043.7349999999999</v>
      </c>
      <c r="D10" s="4" t="s">
        <v>25</v>
      </c>
      <c r="G10">
        <f>GETPIVOTDATA("SatisfactionScore",$G$8)</f>
        <v>3.11</v>
      </c>
      <c r="M10" s="2"/>
      <c r="N10" s="2"/>
      <c r="P10" s="4" t="s">
        <v>21</v>
      </c>
      <c r="Q10" s="7">
        <v>8950.295454545454</v>
      </c>
    </row>
    <row r="11" spans="1:17" x14ac:dyDescent="0.35">
      <c r="D11" s="4" t="s">
        <v>39</v>
      </c>
    </row>
    <row r="12" spans="1:17" x14ac:dyDescent="0.35">
      <c r="D12" s="4" t="s">
        <v>36</v>
      </c>
      <c r="G12" s="2"/>
      <c r="H12" s="5"/>
      <c r="I12" s="2"/>
      <c r="M12" s="3" t="s">
        <v>178</v>
      </c>
      <c r="N12" t="s">
        <v>182</v>
      </c>
    </row>
    <row r="13" spans="1:17" x14ac:dyDescent="0.35">
      <c r="D13" s="4" t="s">
        <v>17</v>
      </c>
      <c r="M13" s="4" t="s">
        <v>177</v>
      </c>
      <c r="N13" s="10">
        <v>1204.1923076923076</v>
      </c>
      <c r="P13" t="s">
        <v>178</v>
      </c>
      <c r="Q13" t="s">
        <v>166</v>
      </c>
    </row>
    <row r="14" spans="1:17" x14ac:dyDescent="0.35">
      <c r="D14" s="4" t="s">
        <v>21</v>
      </c>
      <c r="G14" t="s">
        <v>170</v>
      </c>
      <c r="M14" s="9" t="s">
        <v>180</v>
      </c>
      <c r="N14" s="10">
        <v>1143.25</v>
      </c>
      <c r="P14" t="s">
        <v>29</v>
      </c>
      <c r="Q14" s="10">
        <v>10520.258064516129</v>
      </c>
    </row>
    <row r="15" spans="1:17" x14ac:dyDescent="0.35">
      <c r="G15" s="7">
        <v>2.95</v>
      </c>
      <c r="M15" s="9" t="s">
        <v>179</v>
      </c>
      <c r="N15" s="10">
        <v>1287.8181818181818</v>
      </c>
      <c r="P15" t="s">
        <v>25</v>
      </c>
      <c r="Q15" s="10">
        <v>8840.9090909090901</v>
      </c>
    </row>
    <row r="16" spans="1:17" x14ac:dyDescent="0.35">
      <c r="G16">
        <f>GETPIVOTDATA("EngagementScore",$G$14)</f>
        <v>2.95</v>
      </c>
      <c r="M16" s="9" t="s">
        <v>181</v>
      </c>
      <c r="N16" s="10">
        <v>1199.9354838709678</v>
      </c>
      <c r="P16" t="s">
        <v>39</v>
      </c>
      <c r="Q16" s="10">
        <v>10206.923076923076</v>
      </c>
    </row>
    <row r="17" spans="3:17" x14ac:dyDescent="0.35">
      <c r="C17" s="2"/>
      <c r="D17" s="5" t="s">
        <v>164</v>
      </c>
      <c r="E17" s="2"/>
      <c r="M17" s="9" t="s">
        <v>193</v>
      </c>
      <c r="N17" s="10">
        <v>1054</v>
      </c>
      <c r="P17" t="s">
        <v>36</v>
      </c>
      <c r="Q17" s="10">
        <v>9669.3589743589746</v>
      </c>
    </row>
    <row r="18" spans="3:17" x14ac:dyDescent="0.35">
      <c r="D18" s="3" t="s">
        <v>160</v>
      </c>
      <c r="G18" s="2"/>
      <c r="H18" s="5"/>
      <c r="I18" s="2"/>
      <c r="M18" s="4" t="s">
        <v>175</v>
      </c>
      <c r="N18" s="10">
        <v>549.25806451612902</v>
      </c>
      <c r="P18" t="s">
        <v>17</v>
      </c>
      <c r="Q18" s="10">
        <v>9714.5555555555547</v>
      </c>
    </row>
    <row r="19" spans="3:17" x14ac:dyDescent="0.35">
      <c r="D19" s="4" t="s">
        <v>63</v>
      </c>
      <c r="M19" s="9" t="s">
        <v>180</v>
      </c>
      <c r="N19" s="10">
        <v>552.15</v>
      </c>
      <c r="P19" t="s">
        <v>21</v>
      </c>
      <c r="Q19" s="10">
        <v>8950.295454545454</v>
      </c>
    </row>
    <row r="20" spans="3:17" x14ac:dyDescent="0.35">
      <c r="D20" s="4" t="s">
        <v>68</v>
      </c>
      <c r="G20" t="s">
        <v>171</v>
      </c>
      <c r="M20" s="9" t="s">
        <v>179</v>
      </c>
      <c r="N20" s="10">
        <v>509.77419354838707</v>
      </c>
    </row>
    <row r="21" spans="3:17" x14ac:dyDescent="0.35">
      <c r="D21" s="4" t="s">
        <v>61</v>
      </c>
      <c r="G21" s="7">
        <v>10.8</v>
      </c>
      <c r="M21" s="9" t="s">
        <v>181</v>
      </c>
      <c r="N21" s="10">
        <v>550.90625</v>
      </c>
      <c r="P21" s="2"/>
      <c r="Q21" s="5"/>
    </row>
    <row r="22" spans="3:17" x14ac:dyDescent="0.35">
      <c r="D22" s="4" t="s">
        <v>50</v>
      </c>
      <c r="G22">
        <f>GETPIVOTDATA("AbsenceDays",$G$20)</f>
        <v>10.8</v>
      </c>
      <c r="M22" s="9" t="s">
        <v>193</v>
      </c>
      <c r="N22" s="10">
        <v>660.6</v>
      </c>
    </row>
    <row r="23" spans="3:17" x14ac:dyDescent="0.35">
      <c r="D23" s="4" t="s">
        <v>71</v>
      </c>
      <c r="E23">
        <f>COUNTA(D19:D33)</f>
        <v>15</v>
      </c>
      <c r="M23" s="4" t="s">
        <v>176</v>
      </c>
      <c r="N23" s="10">
        <v>1728.1454545454546</v>
      </c>
      <c r="P23" s="3" t="s">
        <v>178</v>
      </c>
      <c r="Q23" t="s">
        <v>167</v>
      </c>
    </row>
    <row r="24" spans="3:17" x14ac:dyDescent="0.35">
      <c r="D24" s="4" t="s">
        <v>40</v>
      </c>
      <c r="G24" s="2"/>
      <c r="H24" s="5"/>
      <c r="I24" s="2"/>
      <c r="M24" s="9" t="s">
        <v>180</v>
      </c>
      <c r="N24" s="10">
        <v>1779.8571428571429</v>
      </c>
      <c r="P24" s="4" t="s">
        <v>185</v>
      </c>
      <c r="Q24" s="7">
        <v>3.5513333333333326</v>
      </c>
    </row>
    <row r="25" spans="3:17" x14ac:dyDescent="0.35">
      <c r="D25" s="4" t="s">
        <v>46</v>
      </c>
      <c r="M25" s="9" t="s">
        <v>179</v>
      </c>
      <c r="N25" s="10">
        <v>1718.9444444444443</v>
      </c>
      <c r="P25" s="4" t="s">
        <v>186</v>
      </c>
      <c r="Q25" s="7">
        <v>3.6052380952380951</v>
      </c>
    </row>
    <row r="26" spans="3:17" x14ac:dyDescent="0.35">
      <c r="D26" s="4" t="s">
        <v>30</v>
      </c>
      <c r="G26" s="3" t="s">
        <v>160</v>
      </c>
      <c r="H26" t="s">
        <v>171</v>
      </c>
      <c r="M26" s="9" t="s">
        <v>181</v>
      </c>
      <c r="N26" s="10">
        <v>1709.7037037037037</v>
      </c>
      <c r="P26" s="4" t="s">
        <v>187</v>
      </c>
      <c r="Q26" s="7">
        <v>3.5399999999999996</v>
      </c>
    </row>
    <row r="27" spans="3:17" x14ac:dyDescent="0.35">
      <c r="D27" s="4" t="s">
        <v>44</v>
      </c>
      <c r="G27" s="4" t="s">
        <v>29</v>
      </c>
      <c r="H27" s="7">
        <v>11.709677419354838</v>
      </c>
      <c r="J27" t="s">
        <v>160</v>
      </c>
      <c r="M27" s="9" t="s">
        <v>193</v>
      </c>
      <c r="N27" s="10">
        <v>1828.6666666666667</v>
      </c>
      <c r="P27" s="4" t="s">
        <v>188</v>
      </c>
      <c r="Q27" s="7">
        <v>4.088064516129033</v>
      </c>
    </row>
    <row r="28" spans="3:17" x14ac:dyDescent="0.35">
      <c r="D28" s="4" t="s">
        <v>32</v>
      </c>
      <c r="G28" s="4" t="s">
        <v>25</v>
      </c>
      <c r="H28" s="7">
        <v>11.030303030303031</v>
      </c>
      <c r="J28" t="s">
        <v>29</v>
      </c>
      <c r="K28">
        <v>11.709677419354838</v>
      </c>
      <c r="P28" s="4" t="s">
        <v>189</v>
      </c>
      <c r="Q28" s="7">
        <v>3.7070588235294117</v>
      </c>
    </row>
    <row r="29" spans="3:17" x14ac:dyDescent="0.35">
      <c r="D29" s="4" t="s">
        <v>37</v>
      </c>
      <c r="G29" s="4" t="s">
        <v>39</v>
      </c>
      <c r="H29" s="7">
        <v>11.76923076923077</v>
      </c>
      <c r="J29" t="s">
        <v>25</v>
      </c>
      <c r="K29">
        <v>11.030303030303031</v>
      </c>
      <c r="M29" s="2"/>
      <c r="N29" s="5"/>
      <c r="P29" s="4" t="s">
        <v>190</v>
      </c>
      <c r="Q29" s="7">
        <v>3.927037037037036</v>
      </c>
    </row>
    <row r="30" spans="3:17" x14ac:dyDescent="0.35">
      <c r="D30" s="4" t="s">
        <v>18</v>
      </c>
      <c r="G30" s="4" t="s">
        <v>36</v>
      </c>
      <c r="H30" s="7">
        <v>9.6410256410256405</v>
      </c>
      <c r="J30" t="s">
        <v>39</v>
      </c>
      <c r="K30">
        <v>11.76923076923077</v>
      </c>
      <c r="P30" s="4" t="s">
        <v>191</v>
      </c>
      <c r="Q30" s="7">
        <v>3.8881250000000001</v>
      </c>
    </row>
    <row r="31" spans="3:17" x14ac:dyDescent="0.35">
      <c r="D31" s="4" t="s">
        <v>26</v>
      </c>
      <c r="G31" s="4" t="s">
        <v>17</v>
      </c>
      <c r="H31" s="7">
        <v>9.0740740740740744</v>
      </c>
      <c r="J31" t="s">
        <v>36</v>
      </c>
      <c r="K31">
        <v>9.6410256410256405</v>
      </c>
      <c r="M31" s="3" t="s">
        <v>178</v>
      </c>
      <c r="N31" t="s">
        <v>184</v>
      </c>
      <c r="P31" s="4" t="s">
        <v>192</v>
      </c>
      <c r="Q31" s="7">
        <v>4.01</v>
      </c>
    </row>
    <row r="32" spans="3:17" x14ac:dyDescent="0.35">
      <c r="D32" s="4" t="s">
        <v>22</v>
      </c>
      <c r="G32" s="4" t="s">
        <v>21</v>
      </c>
      <c r="H32" s="7">
        <v>11.5</v>
      </c>
      <c r="J32" t="s">
        <v>17</v>
      </c>
      <c r="K32">
        <v>9.0740740740740744</v>
      </c>
      <c r="M32" s="4" t="s">
        <v>180</v>
      </c>
      <c r="N32" s="7">
        <v>18.571428571428573</v>
      </c>
    </row>
    <row r="33" spans="3:14" x14ac:dyDescent="0.35">
      <c r="D33" s="4" t="s">
        <v>56</v>
      </c>
      <c r="J33" t="s">
        <v>21</v>
      </c>
      <c r="K33">
        <v>11.5</v>
      </c>
      <c r="M33" s="4" t="s">
        <v>179</v>
      </c>
      <c r="N33" s="7">
        <v>23.183333333333334</v>
      </c>
    </row>
    <row r="34" spans="3:14" x14ac:dyDescent="0.35">
      <c r="C34" s="2"/>
      <c r="D34" s="5" t="s">
        <v>165</v>
      </c>
      <c r="E34" s="2"/>
      <c r="M34" s="4" t="s">
        <v>181</v>
      </c>
      <c r="N34" s="7">
        <v>19.211111111111112</v>
      </c>
    </row>
    <row r="35" spans="3:14" x14ac:dyDescent="0.35">
      <c r="G35" s="2"/>
      <c r="H35" s="5"/>
      <c r="I35" s="2"/>
      <c r="M35" s="4" t="s">
        <v>193</v>
      </c>
      <c r="N35" s="7">
        <v>15.6</v>
      </c>
    </row>
    <row r="36" spans="3:14" x14ac:dyDescent="0.35">
      <c r="D36" t="s">
        <v>166</v>
      </c>
    </row>
    <row r="37" spans="3:14" x14ac:dyDescent="0.35">
      <c r="D37" s="6">
        <v>9582.3449999999993</v>
      </c>
      <c r="G37" s="3" t="s">
        <v>160</v>
      </c>
      <c r="H37" t="s">
        <v>167</v>
      </c>
    </row>
    <row r="38" spans="3:14" x14ac:dyDescent="0.35">
      <c r="E38" s="6">
        <f>GETPIVOTDATA("Salary",$D$36)</f>
        <v>9582.3449999999993</v>
      </c>
      <c r="G38" s="4" t="s">
        <v>63</v>
      </c>
      <c r="H38" s="7">
        <v>4.1250000000000009</v>
      </c>
    </row>
    <row r="39" spans="3:14" x14ac:dyDescent="0.35">
      <c r="G39" s="4" t="s">
        <v>68</v>
      </c>
      <c r="H39" s="7">
        <v>3.8913333333333338</v>
      </c>
    </row>
    <row r="40" spans="3:14" x14ac:dyDescent="0.35">
      <c r="C40" s="2"/>
      <c r="D40" s="5"/>
      <c r="E40" s="2"/>
      <c r="G40" s="4" t="s">
        <v>61</v>
      </c>
      <c r="H40" s="7">
        <v>3.6599999999999997</v>
      </c>
    </row>
    <row r="41" spans="3:14" x14ac:dyDescent="0.35">
      <c r="G41" s="4" t="s">
        <v>50</v>
      </c>
      <c r="H41" s="7">
        <v>3.7673913043478255</v>
      </c>
    </row>
    <row r="42" spans="3:14" x14ac:dyDescent="0.35">
      <c r="D42" t="s">
        <v>182</v>
      </c>
      <c r="G42" s="4" t="s">
        <v>71</v>
      </c>
      <c r="H42" s="7">
        <v>3.6480000000000001</v>
      </c>
    </row>
    <row r="43" spans="3:14" x14ac:dyDescent="0.35">
      <c r="D43" s="6">
        <v>1043.7349999999999</v>
      </c>
      <c r="G43" s="4" t="s">
        <v>40</v>
      </c>
      <c r="H43" s="7">
        <v>3.036</v>
      </c>
    </row>
    <row r="44" spans="3:14" x14ac:dyDescent="0.35">
      <c r="G44" s="4" t="s">
        <v>46</v>
      </c>
      <c r="H44" s="7">
        <v>3.78</v>
      </c>
    </row>
    <row r="45" spans="3:14" x14ac:dyDescent="0.35">
      <c r="D45">
        <f>GETPIVOTDATA("TrainingCost",$D$42)</f>
        <v>1043.7349999999999</v>
      </c>
      <c r="G45" s="4" t="s">
        <v>30</v>
      </c>
      <c r="H45" s="7">
        <v>3.6581249999999992</v>
      </c>
    </row>
    <row r="46" spans="3:14" x14ac:dyDescent="0.35">
      <c r="G46" s="4" t="s">
        <v>44</v>
      </c>
      <c r="H46" s="7">
        <v>3.6060000000000003</v>
      </c>
    </row>
    <row r="47" spans="3:14" x14ac:dyDescent="0.35">
      <c r="G47" s="4" t="s">
        <v>32</v>
      </c>
      <c r="H47" s="7">
        <v>3.8638461538461537</v>
      </c>
    </row>
    <row r="48" spans="3:14" x14ac:dyDescent="0.35">
      <c r="G48" s="4" t="s">
        <v>37</v>
      </c>
      <c r="H48" s="7">
        <v>3.9143750000000002</v>
      </c>
    </row>
    <row r="49" spans="7:8" x14ac:dyDescent="0.35">
      <c r="G49" s="4" t="s">
        <v>18</v>
      </c>
      <c r="H49" s="7">
        <v>3.5516666666666663</v>
      </c>
    </row>
    <row r="50" spans="7:8" x14ac:dyDescent="0.35">
      <c r="G50" s="4" t="s">
        <v>26</v>
      </c>
      <c r="H50" s="7">
        <v>3.9060000000000001</v>
      </c>
    </row>
    <row r="51" spans="7:8" x14ac:dyDescent="0.35">
      <c r="G51" s="4" t="s">
        <v>22</v>
      </c>
      <c r="H51" s="7">
        <v>3.8009090909090912</v>
      </c>
    </row>
    <row r="52" spans="7:8" x14ac:dyDescent="0.35">
      <c r="G52" s="4" t="s">
        <v>56</v>
      </c>
      <c r="H52" s="7">
        <v>3.5509090909090912</v>
      </c>
    </row>
  </sheetData>
  <pageMargins left="0.7" right="0.7" top="0.75" bottom="0.75" header="0.3" footer="0.3"/>
  <tableParts count="1">
    <tablePart r:id="rId1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E7B0-436D-45B0-B2AC-ED4A0EC74CFB}">
  <sheetPr>
    <tabColor rgb="FF3C096C"/>
  </sheetPr>
  <dimension ref="T28"/>
  <sheetViews>
    <sheetView showGridLines="0" showRowColHeaders="0" workbookViewId="0"/>
  </sheetViews>
  <sheetFormatPr defaultRowHeight="14.5" x14ac:dyDescent="0.35"/>
  <cols>
    <col min="1" max="16384" width="8.7265625" style="11"/>
  </cols>
  <sheetData>
    <row r="28" spans="20:20" x14ac:dyDescent="0.35">
      <c r="T28" s="11" t="s">
        <v>194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7FFC-2F72-4394-9BD8-C72EA63C02AA}">
  <sheetPr>
    <tabColor rgb="FFE0AAFF"/>
  </sheetPr>
  <dimension ref="J17"/>
  <sheetViews>
    <sheetView showGridLines="0" showRowColHeaders="0" zoomScale="90" zoomScaleNormal="90" workbookViewId="0">
      <selection activeCell="Q18" sqref="Q18"/>
    </sheetView>
  </sheetViews>
  <sheetFormatPr defaultRowHeight="14.5" x14ac:dyDescent="0.35"/>
  <cols>
    <col min="1" max="16384" width="8.7265625" style="8"/>
  </cols>
  <sheetData>
    <row r="17" spans="10:10" x14ac:dyDescent="0.35">
      <c r="J17" s="8" t="s">
        <v>183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834E-0C0D-4539-AC05-64FED3F3F01B}">
  <sheetPr>
    <tabColor rgb="FF9F4BBD"/>
  </sheetPr>
  <dimension ref="J17"/>
  <sheetViews>
    <sheetView showGridLines="0" showRowColHeaders="0" zoomScale="90" zoomScaleNormal="90" workbookViewId="0">
      <selection activeCell="P32" sqref="P32"/>
    </sheetView>
  </sheetViews>
  <sheetFormatPr defaultRowHeight="14.5" x14ac:dyDescent="0.35"/>
  <cols>
    <col min="1" max="16384" width="8.7265625" style="8"/>
  </cols>
  <sheetData>
    <row r="17" spans="10:10" x14ac:dyDescent="0.35">
      <c r="J17" s="8" t="s">
        <v>183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A459E5-5621-4A41-BB47-981AC37BAA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Dataset</vt:lpstr>
      <vt:lpstr>pivot table</vt:lpstr>
      <vt:lpstr>Home</vt:lpstr>
      <vt:lpstr>Overview</vt:lpstr>
      <vt:lpstr>More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Elian</dc:creator>
  <cp:lastModifiedBy>Mariam Elian</cp:lastModifiedBy>
  <dcterms:created xsi:type="dcterms:W3CDTF">2026-05-13T16:48:10Z</dcterms:created>
  <dcterms:modified xsi:type="dcterms:W3CDTF">2026-05-16T12:28:56Z</dcterms:modified>
</cp:coreProperties>
</file>